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 activeTab="11"/>
  </bookViews>
  <sheets>
    <sheet name="1月" sheetId="13" r:id="rId1"/>
    <sheet name="2月" sheetId="14" r:id="rId2"/>
    <sheet name="3月" sheetId="16" r:id="rId3"/>
    <sheet name="4月" sheetId="17" r:id="rId4"/>
    <sheet name="5月" sheetId="18" r:id="rId5"/>
    <sheet name="6月" sheetId="19" r:id="rId6"/>
    <sheet name="7月" sheetId="15" r:id="rId7"/>
    <sheet name="8月" sheetId="21" r:id="rId8"/>
    <sheet name="9月" sheetId="22" r:id="rId9"/>
    <sheet name="10月" sheetId="23" r:id="rId10"/>
    <sheet name="11月" sheetId="11" r:id="rId11"/>
    <sheet name="12月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10">'11月'!$A$1:$H$34</definedName>
  </definedNames>
  <calcPr calcId="144525"/>
</workbook>
</file>

<file path=xl/sharedStrings.xml><?xml version="1.0" encoding="utf-8"?>
<sst xmlns="http://schemas.openxmlformats.org/spreadsheetml/2006/main" count="138" uniqueCount="26">
  <si>
    <t>2024年1月每日调度快报</t>
  </si>
  <si>
    <t>单位：亿千瓦时 %</t>
  </si>
  <si>
    <t>日期</t>
  </si>
  <si>
    <t>日发电量</t>
  </si>
  <si>
    <t>月累计发电量</t>
  </si>
  <si>
    <t>同比</t>
  </si>
  <si>
    <t>年累计发电量</t>
  </si>
  <si>
    <t>最高负荷</t>
  </si>
  <si>
    <t>最低负荷</t>
  </si>
  <si>
    <t>2019年1月累计发电量</t>
  </si>
  <si>
    <t>相对2019年增长率</t>
  </si>
  <si>
    <t>数据来源：国家电力调度通信中心</t>
  </si>
  <si>
    <t>2024年2月每日调度快报</t>
  </si>
  <si>
    <t>2019年2月累计发电量</t>
  </si>
  <si>
    <t>月同比</t>
  </si>
  <si>
    <t>年累计同比</t>
  </si>
  <si>
    <t>2024年3月每日调度快报</t>
  </si>
  <si>
    <t>2024年4月每日调度快报</t>
  </si>
  <si>
    <t>2024年5月每日调度快报</t>
  </si>
  <si>
    <t>2024年6月每日调度快报</t>
  </si>
  <si>
    <t>2024年7月每日调度快报</t>
  </si>
  <si>
    <t>2024年8月每日调度快报</t>
  </si>
  <si>
    <t>2024年9月每日调度快报</t>
  </si>
  <si>
    <t>2024年10月每日调度快报</t>
  </si>
  <si>
    <t>2024年11月每日调度快报</t>
  </si>
  <si>
    <t>2024年12月每日调度快报</t>
  </si>
</sst>
</file>

<file path=xl/styles.xml><?xml version="1.0" encoding="utf-8"?>
<styleSheet xmlns="http://schemas.openxmlformats.org/spreadsheetml/2006/main">
  <numFmts count="7">
    <numFmt numFmtId="176" formatCode="m/d;@"/>
    <numFmt numFmtId="177" formatCode="0.0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m/d"/>
    <numFmt numFmtId="41" formatCode="_ * #,##0_ ;_ * \-#,##0_ ;_ * &quot;-&quot;_ ;_ @_ "/>
  </numFmts>
  <fonts count="23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33" borderId="10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7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10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</cellStyleXfs>
  <cellXfs count="40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 vertical="center"/>
    </xf>
    <xf numFmtId="10" fontId="0" fillId="2" borderId="1" xfId="0" applyNumberFormat="1" applyFont="1" applyFill="1" applyBorder="1" applyAlignment="1" applyProtection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vertical="center"/>
    </xf>
    <xf numFmtId="10" fontId="0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0" fillId="3" borderId="0" xfId="0" applyFill="1" applyAlignment="1"/>
    <xf numFmtId="58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78" fontId="0" fillId="0" borderId="1" xfId="0" applyNumberFormat="1" applyFont="1" applyFill="1" applyBorder="1" applyAlignment="1">
      <alignment horizontal="center"/>
    </xf>
    <xf numFmtId="178" fontId="0" fillId="2" borderId="1" xfId="0" applyNumberFormat="1" applyFont="1" applyFill="1" applyBorder="1" applyAlignment="1">
      <alignment horizontal="center"/>
    </xf>
    <xf numFmtId="176" fontId="0" fillId="2" borderId="1" xfId="0" applyNumberFormat="1" applyFont="1" applyFill="1" applyBorder="1" applyAlignment="1">
      <alignment horizontal="center"/>
    </xf>
    <xf numFmtId="176" fontId="0" fillId="0" borderId="1" xfId="0" applyNumberFormat="1" applyFont="1" applyFill="1" applyBorder="1" applyAlignment="1">
      <alignment horizontal="center"/>
    </xf>
    <xf numFmtId="58" fontId="0" fillId="0" borderId="0" xfId="0" applyNumberFormat="1" applyFill="1"/>
    <xf numFmtId="10" fontId="2" fillId="3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1" fillId="3" borderId="0" xfId="0" applyNumberFormat="1" applyFont="1" applyFill="1" applyAlignment="1">
      <alignment horizontal="center" vertical="center"/>
    </xf>
    <xf numFmtId="10" fontId="0" fillId="3" borderId="0" xfId="0" applyNumberFormat="1" applyFill="1" applyAlignment="1">
      <alignment horizontal="right" vertical="center"/>
    </xf>
    <xf numFmtId="0" fontId="0" fillId="0" borderId="0" xfId="0" applyAlignment="1">
      <alignment horizontal="center" vertical="center"/>
    </xf>
    <xf numFmtId="177" fontId="0" fillId="0" borderId="0" xfId="0" applyNumberForma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user/&#26700;&#38754;/04-&#30005;&#21147;&#35843;&#24230;&#26085;&#25253; - &#24555;&#25463;&#26041;&#24335;/2024&#24180;&#20445;&#20379;&#26085;&#25253;&#25968;&#25454;&#65288;&#21547;&#36127;&#33655;&#21019;&#26032;&#39640;&#24773;&#20917;&#26356;&#26032;&#33267;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ome/user/1-&#26085;&#24120;&#24037;&#20316;/2-&#26085;&#25253;/2-202410/2024&#24180;&#20445;&#20379;&#26085;&#25253;&#25968;&#25454;&#65288;&#21547;&#36127;&#33655;&#21019;&#26032;&#39640;&#24773;&#20917;&#26356;&#26032;&#33267;1008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user/1-&#26085;&#24120;&#24037;&#20316;/2-&#26085;&#25253;/2024&#24180;&#20445;&#20379;&#26085;&#25253;&#25968;&#25454;-&#24213;&#3129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ome/user/1-&#26085;&#24120;&#24037;&#20316;/2-&#26085;&#25253;/2-202410/2024&#24180;&#20445;&#20379;&#26085;&#25253;&#25968;&#25454;&#65288;&#21547;&#36127;&#33655;&#21019;&#26032;&#39640;&#24773;&#20917;&#26356;&#26032;&#33267;1009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ome/user/1-&#26085;&#24120;&#24037;&#20316;/2-&#26085;&#25253;/2-202410/2024&#24180;&#20445;&#20379;&#26085;&#25253;&#25968;&#25454;&#65288;&#21547;&#36127;&#33655;&#21019;&#26032;&#39640;&#24773;&#20917;&#26356;&#26032;&#33267;101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-数据"/>
      <sheetName val="02-2024年负荷创新高次数统计"/>
      <sheetName val="03-各类趋势线"/>
      <sheetName val="04-数据分析"/>
    </sheetNames>
    <sheetDataSet>
      <sheetData sheetId="0" refreshError="1">
        <row r="1">
          <cell r="C1">
            <v>45292</v>
          </cell>
          <cell r="D1">
            <v>45293</v>
          </cell>
          <cell r="E1">
            <v>45294</v>
          </cell>
          <cell r="F1">
            <v>45295</v>
          </cell>
          <cell r="G1">
            <v>45296</v>
          </cell>
          <cell r="H1">
            <v>45297</v>
          </cell>
          <cell r="I1">
            <v>45298</v>
          </cell>
          <cell r="J1">
            <v>45299</v>
          </cell>
          <cell r="K1">
            <v>45300</v>
          </cell>
          <cell r="L1">
            <v>45301</v>
          </cell>
          <cell r="M1">
            <v>45302</v>
          </cell>
          <cell r="N1">
            <v>45303</v>
          </cell>
          <cell r="O1">
            <v>45304</v>
          </cell>
          <cell r="P1">
            <v>45305</v>
          </cell>
          <cell r="Q1">
            <v>45306</v>
          </cell>
          <cell r="R1">
            <v>45307</v>
          </cell>
          <cell r="S1">
            <v>45308</v>
          </cell>
          <cell r="T1">
            <v>45309</v>
          </cell>
          <cell r="U1">
            <v>45310</v>
          </cell>
          <cell r="V1">
            <v>45311</v>
          </cell>
          <cell r="W1">
            <v>45312</v>
          </cell>
          <cell r="X1">
            <v>45313</v>
          </cell>
          <cell r="Y1">
            <v>45314</v>
          </cell>
          <cell r="Z1">
            <v>45315</v>
          </cell>
          <cell r="AA1">
            <v>45316</v>
          </cell>
          <cell r="AB1">
            <v>45317</v>
          </cell>
          <cell r="AC1">
            <v>45318</v>
          </cell>
          <cell r="AD1">
            <v>45319</v>
          </cell>
          <cell r="AE1">
            <v>45320</v>
          </cell>
          <cell r="AF1">
            <v>45321</v>
          </cell>
          <cell r="AG1">
            <v>45322</v>
          </cell>
          <cell r="AH1">
            <v>45323</v>
          </cell>
          <cell r="AI1">
            <v>45324</v>
          </cell>
          <cell r="AJ1">
            <v>45325</v>
          </cell>
          <cell r="AK1">
            <v>45326</v>
          </cell>
          <cell r="AL1">
            <v>45327</v>
          </cell>
          <cell r="AM1">
            <v>45328</v>
          </cell>
          <cell r="AN1">
            <v>45329</v>
          </cell>
          <cell r="AO1">
            <v>45330</v>
          </cell>
          <cell r="AP1">
            <v>45331</v>
          </cell>
          <cell r="AQ1">
            <v>45332</v>
          </cell>
          <cell r="AR1">
            <v>45333</v>
          </cell>
          <cell r="AS1">
            <v>45334</v>
          </cell>
          <cell r="AT1">
            <v>45335</v>
          </cell>
          <cell r="AU1">
            <v>45336</v>
          </cell>
          <cell r="AV1">
            <v>45337</v>
          </cell>
          <cell r="AW1">
            <v>45338</v>
          </cell>
          <cell r="AX1">
            <v>45339</v>
          </cell>
          <cell r="AY1">
            <v>45340</v>
          </cell>
          <cell r="AZ1">
            <v>45341</v>
          </cell>
          <cell r="BA1">
            <v>45342</v>
          </cell>
          <cell r="BB1">
            <v>45343</v>
          </cell>
          <cell r="BC1">
            <v>45344</v>
          </cell>
          <cell r="BD1">
            <v>45345</v>
          </cell>
          <cell r="BE1">
            <v>45346</v>
          </cell>
          <cell r="BF1">
            <v>45347</v>
          </cell>
          <cell r="BG1">
            <v>45348</v>
          </cell>
          <cell r="BH1">
            <v>45349</v>
          </cell>
          <cell r="BI1">
            <v>45350</v>
          </cell>
          <cell r="BJ1">
            <v>45351</v>
          </cell>
          <cell r="BK1">
            <v>45352</v>
          </cell>
          <cell r="BL1">
            <v>45353</v>
          </cell>
          <cell r="BM1">
            <v>45354</v>
          </cell>
          <cell r="BN1">
            <v>45355</v>
          </cell>
          <cell r="BO1">
            <v>45356</v>
          </cell>
          <cell r="BP1">
            <v>45357</v>
          </cell>
          <cell r="BQ1">
            <v>45358</v>
          </cell>
          <cell r="BR1">
            <v>45359</v>
          </cell>
          <cell r="BS1">
            <v>45360</v>
          </cell>
          <cell r="BT1">
            <v>45361</v>
          </cell>
          <cell r="BU1">
            <v>45362</v>
          </cell>
          <cell r="BV1">
            <v>45363</v>
          </cell>
          <cell r="BW1">
            <v>45364</v>
          </cell>
          <cell r="BX1">
            <v>45365</v>
          </cell>
          <cell r="BY1">
            <v>45366</v>
          </cell>
          <cell r="BZ1">
            <v>45367</v>
          </cell>
          <cell r="CA1">
            <v>45368</v>
          </cell>
          <cell r="CB1">
            <v>45369</v>
          </cell>
          <cell r="CC1">
            <v>45370</v>
          </cell>
          <cell r="CD1">
            <v>45371</v>
          </cell>
          <cell r="CE1">
            <v>45372</v>
          </cell>
          <cell r="CF1">
            <v>45373</v>
          </cell>
          <cell r="CG1">
            <v>45374</v>
          </cell>
          <cell r="CH1">
            <v>45375</v>
          </cell>
          <cell r="CI1">
            <v>45376</v>
          </cell>
          <cell r="CJ1">
            <v>45377</v>
          </cell>
          <cell r="CK1">
            <v>45378</v>
          </cell>
          <cell r="CL1">
            <v>45379</v>
          </cell>
          <cell r="CM1">
            <v>45380</v>
          </cell>
          <cell r="CN1">
            <v>45381</v>
          </cell>
          <cell r="CO1">
            <v>45382</v>
          </cell>
          <cell r="CP1">
            <v>45383</v>
          </cell>
          <cell r="CQ1">
            <v>45384</v>
          </cell>
          <cell r="CR1">
            <v>45385</v>
          </cell>
          <cell r="CS1">
            <v>45386</v>
          </cell>
          <cell r="CT1">
            <v>45387</v>
          </cell>
          <cell r="CU1">
            <v>45388</v>
          </cell>
          <cell r="CV1">
            <v>45389</v>
          </cell>
          <cell r="CW1">
            <v>45390</v>
          </cell>
          <cell r="CX1">
            <v>45391</v>
          </cell>
          <cell r="CY1">
            <v>45392</v>
          </cell>
          <cell r="CZ1">
            <v>45393</v>
          </cell>
          <cell r="DA1">
            <v>45394</v>
          </cell>
          <cell r="DB1">
            <v>45395</v>
          </cell>
          <cell r="DC1">
            <v>45396</v>
          </cell>
          <cell r="DD1">
            <v>45397</v>
          </cell>
          <cell r="DE1">
            <v>45398</v>
          </cell>
          <cell r="DF1">
            <v>45399</v>
          </cell>
          <cell r="DG1">
            <v>45400</v>
          </cell>
          <cell r="DH1">
            <v>45401</v>
          </cell>
          <cell r="DI1">
            <v>45402</v>
          </cell>
          <cell r="DJ1">
            <v>45403</v>
          </cell>
          <cell r="DK1">
            <v>45404</v>
          </cell>
          <cell r="DL1">
            <v>45405</v>
          </cell>
          <cell r="DM1">
            <v>45406</v>
          </cell>
          <cell r="DN1">
            <v>45407</v>
          </cell>
          <cell r="DO1">
            <v>45408</v>
          </cell>
          <cell r="DP1">
            <v>45409</v>
          </cell>
          <cell r="DQ1">
            <v>45410</v>
          </cell>
          <cell r="DR1">
            <v>45411</v>
          </cell>
          <cell r="DS1">
            <v>45412</v>
          </cell>
          <cell r="DT1">
            <v>45413</v>
          </cell>
          <cell r="DU1">
            <v>45414</v>
          </cell>
          <cell r="DV1">
            <v>45415</v>
          </cell>
          <cell r="DW1">
            <v>45416</v>
          </cell>
          <cell r="DX1">
            <v>45417</v>
          </cell>
          <cell r="DY1">
            <v>45418</v>
          </cell>
          <cell r="DZ1">
            <v>45419</v>
          </cell>
          <cell r="EA1">
            <v>45420</v>
          </cell>
          <cell r="EB1">
            <v>45421</v>
          </cell>
          <cell r="EC1">
            <v>45422</v>
          </cell>
          <cell r="ED1">
            <v>45423</v>
          </cell>
          <cell r="EE1">
            <v>45424</v>
          </cell>
          <cell r="EF1">
            <v>45425</v>
          </cell>
          <cell r="EG1">
            <v>45426</v>
          </cell>
          <cell r="EH1">
            <v>45427</v>
          </cell>
          <cell r="EI1">
            <v>45428</v>
          </cell>
          <cell r="EJ1">
            <v>45429</v>
          </cell>
          <cell r="EK1">
            <v>45430</v>
          </cell>
          <cell r="EL1">
            <v>45431</v>
          </cell>
          <cell r="EM1">
            <v>45432</v>
          </cell>
          <cell r="EN1">
            <v>45433</v>
          </cell>
          <cell r="EO1">
            <v>45434</v>
          </cell>
          <cell r="EP1">
            <v>45435</v>
          </cell>
          <cell r="EQ1">
            <v>45436</v>
          </cell>
          <cell r="ER1">
            <v>45437</v>
          </cell>
          <cell r="ES1">
            <v>45438</v>
          </cell>
          <cell r="ET1">
            <v>45439</v>
          </cell>
          <cell r="EU1">
            <v>45440</v>
          </cell>
          <cell r="EV1">
            <v>45441</v>
          </cell>
          <cell r="EW1">
            <v>45442</v>
          </cell>
          <cell r="EX1">
            <v>45443</v>
          </cell>
          <cell r="EY1">
            <v>45444</v>
          </cell>
          <cell r="EZ1">
            <v>45445</v>
          </cell>
          <cell r="FA1">
            <v>45446</v>
          </cell>
          <cell r="FB1">
            <v>45447</v>
          </cell>
          <cell r="FC1">
            <v>45448</v>
          </cell>
          <cell r="FD1">
            <v>45449</v>
          </cell>
          <cell r="FE1">
            <v>45450</v>
          </cell>
          <cell r="FF1">
            <v>45451</v>
          </cell>
          <cell r="FG1">
            <v>45452</v>
          </cell>
          <cell r="FH1">
            <v>45453</v>
          </cell>
          <cell r="FI1">
            <v>45454</v>
          </cell>
          <cell r="FJ1">
            <v>45455</v>
          </cell>
          <cell r="FK1">
            <v>45456</v>
          </cell>
          <cell r="FL1">
            <v>45457</v>
          </cell>
          <cell r="FM1">
            <v>45458</v>
          </cell>
          <cell r="FN1">
            <v>45459</v>
          </cell>
          <cell r="FO1">
            <v>45460</v>
          </cell>
          <cell r="FP1">
            <v>45461</v>
          </cell>
          <cell r="FQ1">
            <v>45462</v>
          </cell>
          <cell r="FR1">
            <v>45463</v>
          </cell>
          <cell r="FS1">
            <v>45464</v>
          </cell>
          <cell r="FT1">
            <v>45465</v>
          </cell>
          <cell r="FU1">
            <v>45466</v>
          </cell>
          <cell r="FV1">
            <v>45467</v>
          </cell>
          <cell r="FW1">
            <v>45468</v>
          </cell>
          <cell r="FX1">
            <v>45469</v>
          </cell>
          <cell r="FY1">
            <v>45470</v>
          </cell>
          <cell r="FZ1">
            <v>45471</v>
          </cell>
          <cell r="GA1">
            <v>45472</v>
          </cell>
          <cell r="GB1">
            <v>45473</v>
          </cell>
          <cell r="GC1">
            <v>45474</v>
          </cell>
          <cell r="GD1">
            <v>45475</v>
          </cell>
          <cell r="GE1">
            <v>45476</v>
          </cell>
          <cell r="GF1">
            <v>45477</v>
          </cell>
          <cell r="GG1">
            <v>45478</v>
          </cell>
          <cell r="GH1">
            <v>45479</v>
          </cell>
          <cell r="GI1">
            <v>45480</v>
          </cell>
          <cell r="GJ1">
            <v>45481</v>
          </cell>
          <cell r="GK1">
            <v>45482</v>
          </cell>
          <cell r="GL1">
            <v>45483</v>
          </cell>
          <cell r="GM1">
            <v>45484</v>
          </cell>
          <cell r="GN1">
            <v>45485</v>
          </cell>
          <cell r="GO1">
            <v>45486</v>
          </cell>
          <cell r="GP1">
            <v>45487</v>
          </cell>
          <cell r="GQ1">
            <v>45488</v>
          </cell>
          <cell r="GR1">
            <v>45489</v>
          </cell>
          <cell r="GS1">
            <v>45490</v>
          </cell>
          <cell r="GT1">
            <v>45491</v>
          </cell>
          <cell r="GU1">
            <v>45492</v>
          </cell>
          <cell r="GV1">
            <v>45493</v>
          </cell>
          <cell r="GW1">
            <v>45494</v>
          </cell>
          <cell r="GX1">
            <v>45495</v>
          </cell>
          <cell r="GY1">
            <v>45496</v>
          </cell>
          <cell r="GZ1">
            <v>45497</v>
          </cell>
          <cell r="HA1">
            <v>45498</v>
          </cell>
          <cell r="HB1">
            <v>45499</v>
          </cell>
          <cell r="HC1">
            <v>45500</v>
          </cell>
          <cell r="HD1">
            <v>45501</v>
          </cell>
          <cell r="HE1">
            <v>45502</v>
          </cell>
          <cell r="HF1">
            <v>45503</v>
          </cell>
          <cell r="HG1">
            <v>45504</v>
          </cell>
          <cell r="HH1">
            <v>45505</v>
          </cell>
          <cell r="HI1">
            <v>45506</v>
          </cell>
          <cell r="HJ1">
            <v>45507</v>
          </cell>
          <cell r="HK1">
            <v>45508</v>
          </cell>
          <cell r="HL1">
            <v>45509</v>
          </cell>
          <cell r="HM1">
            <v>45510</v>
          </cell>
          <cell r="HN1">
            <v>45511</v>
          </cell>
          <cell r="HO1">
            <v>45512</v>
          </cell>
          <cell r="HP1">
            <v>45513</v>
          </cell>
          <cell r="HQ1">
            <v>45514</v>
          </cell>
          <cell r="HR1">
            <v>45515</v>
          </cell>
          <cell r="HS1">
            <v>45516</v>
          </cell>
          <cell r="HT1">
            <v>45517</v>
          </cell>
          <cell r="HU1">
            <v>45518</v>
          </cell>
          <cell r="HV1">
            <v>45519</v>
          </cell>
          <cell r="HW1">
            <v>45520</v>
          </cell>
          <cell r="HX1">
            <v>45521</v>
          </cell>
          <cell r="HY1">
            <v>45522</v>
          </cell>
          <cell r="HZ1">
            <v>45523</v>
          </cell>
          <cell r="IA1">
            <v>45524</v>
          </cell>
          <cell r="IB1">
            <v>45525</v>
          </cell>
          <cell r="IC1">
            <v>45526</v>
          </cell>
          <cell r="ID1">
            <v>45527</v>
          </cell>
          <cell r="IE1">
            <v>45528</v>
          </cell>
          <cell r="IF1">
            <v>45529</v>
          </cell>
          <cell r="IG1">
            <v>45530</v>
          </cell>
          <cell r="IH1">
            <v>45531</v>
          </cell>
          <cell r="II1">
            <v>45532</v>
          </cell>
          <cell r="IJ1">
            <v>45533</v>
          </cell>
          <cell r="IK1">
            <v>45534</v>
          </cell>
          <cell r="IL1">
            <v>45535</v>
          </cell>
          <cell r="IM1">
            <v>45536</v>
          </cell>
          <cell r="IN1">
            <v>45537</v>
          </cell>
          <cell r="IO1">
            <v>45538</v>
          </cell>
          <cell r="IP1">
            <v>45539</v>
          </cell>
          <cell r="IQ1">
            <v>45540</v>
          </cell>
          <cell r="IR1">
            <v>45541</v>
          </cell>
          <cell r="IS1">
            <v>45542</v>
          </cell>
          <cell r="IT1">
            <v>45543</v>
          </cell>
          <cell r="IU1">
            <v>45544</v>
          </cell>
          <cell r="IV1">
            <v>45545</v>
          </cell>
          <cell r="IW1">
            <v>45546</v>
          </cell>
          <cell r="IX1">
            <v>45547</v>
          </cell>
          <cell r="IY1">
            <v>45548</v>
          </cell>
          <cell r="IZ1">
            <v>45549</v>
          </cell>
          <cell r="JA1">
            <v>45550</v>
          </cell>
          <cell r="JB1">
            <v>45551</v>
          </cell>
          <cell r="JC1">
            <v>45552</v>
          </cell>
          <cell r="JD1">
            <v>45553</v>
          </cell>
          <cell r="JE1">
            <v>45554</v>
          </cell>
          <cell r="JF1">
            <v>45555</v>
          </cell>
          <cell r="JG1">
            <v>45556</v>
          </cell>
          <cell r="JH1">
            <v>45557</v>
          </cell>
          <cell r="JI1">
            <v>45558</v>
          </cell>
          <cell r="JJ1">
            <v>45559</v>
          </cell>
          <cell r="JK1">
            <v>45560</v>
          </cell>
          <cell r="JL1">
            <v>45561</v>
          </cell>
          <cell r="JM1">
            <v>45562</v>
          </cell>
          <cell r="JN1">
            <v>45563</v>
          </cell>
          <cell r="JO1">
            <v>45564</v>
          </cell>
          <cell r="JP1">
            <v>45565</v>
          </cell>
          <cell r="JQ1">
            <v>45566</v>
          </cell>
          <cell r="JR1">
            <v>45567</v>
          </cell>
          <cell r="JS1">
            <v>45568</v>
          </cell>
          <cell r="JT1">
            <v>45569</v>
          </cell>
          <cell r="JU1">
            <v>45570</v>
          </cell>
          <cell r="JV1">
            <v>45571</v>
          </cell>
          <cell r="JW1">
            <v>45572</v>
          </cell>
          <cell r="JX1">
            <v>45573</v>
          </cell>
          <cell r="JY1">
            <v>45574</v>
          </cell>
          <cell r="JZ1">
            <v>45575</v>
          </cell>
          <cell r="KA1">
            <v>45576</v>
          </cell>
          <cell r="KB1">
            <v>45577</v>
          </cell>
          <cell r="KC1">
            <v>45578</v>
          </cell>
          <cell r="KD1">
            <v>45579</v>
          </cell>
          <cell r="KE1">
            <v>45580</v>
          </cell>
          <cell r="KF1">
            <v>45581</v>
          </cell>
          <cell r="KG1">
            <v>45582</v>
          </cell>
          <cell r="KH1">
            <v>45583</v>
          </cell>
          <cell r="KI1">
            <v>45584</v>
          </cell>
          <cell r="KJ1">
            <v>45585</v>
          </cell>
          <cell r="KK1">
            <v>45586</v>
          </cell>
          <cell r="KL1">
            <v>45587</v>
          </cell>
          <cell r="KM1">
            <v>45588</v>
          </cell>
          <cell r="KN1">
            <v>45589</v>
          </cell>
          <cell r="KO1">
            <v>45590</v>
          </cell>
          <cell r="KP1">
            <v>45591</v>
          </cell>
          <cell r="KQ1">
            <v>45592</v>
          </cell>
          <cell r="KR1">
            <v>45593</v>
          </cell>
          <cell r="KS1">
            <v>45594</v>
          </cell>
          <cell r="KT1">
            <v>45595</v>
          </cell>
          <cell r="KU1">
            <v>45596</v>
          </cell>
          <cell r="KV1">
            <v>45597</v>
          </cell>
          <cell r="KW1">
            <v>45598</v>
          </cell>
          <cell r="KX1">
            <v>45599</v>
          </cell>
          <cell r="KY1">
            <v>45600</v>
          </cell>
          <cell r="KZ1">
            <v>45601</v>
          </cell>
          <cell r="LA1">
            <v>45602</v>
          </cell>
          <cell r="LB1">
            <v>45603</v>
          </cell>
          <cell r="LC1">
            <v>45604</v>
          </cell>
          <cell r="LD1">
            <v>45605</v>
          </cell>
          <cell r="LE1">
            <v>45606</v>
          </cell>
          <cell r="LF1">
            <v>45607</v>
          </cell>
          <cell r="LG1">
            <v>45608</v>
          </cell>
          <cell r="LH1">
            <v>45609</v>
          </cell>
          <cell r="LI1">
            <v>45610</v>
          </cell>
          <cell r="LJ1">
            <v>45611</v>
          </cell>
          <cell r="LK1">
            <v>45612</v>
          </cell>
          <cell r="LL1">
            <v>45613</v>
          </cell>
          <cell r="LM1">
            <v>45614</v>
          </cell>
          <cell r="LN1">
            <v>45615</v>
          </cell>
          <cell r="LO1">
            <v>45616</v>
          </cell>
          <cell r="LP1">
            <v>45617</v>
          </cell>
          <cell r="LQ1">
            <v>45618</v>
          </cell>
          <cell r="LR1">
            <v>45619</v>
          </cell>
          <cell r="LS1">
            <v>45620</v>
          </cell>
          <cell r="LT1">
            <v>45621</v>
          </cell>
          <cell r="LU1">
            <v>45622</v>
          </cell>
          <cell r="LV1">
            <v>45623</v>
          </cell>
          <cell r="LW1">
            <v>45624</v>
          </cell>
          <cell r="LX1">
            <v>45625</v>
          </cell>
          <cell r="LY1">
            <v>45626</v>
          </cell>
          <cell r="LZ1">
            <v>45627</v>
          </cell>
          <cell r="MA1">
            <v>45628</v>
          </cell>
          <cell r="MB1">
            <v>45629</v>
          </cell>
          <cell r="MC1">
            <v>45630</v>
          </cell>
          <cell r="MD1">
            <v>45631</v>
          </cell>
          <cell r="ME1">
            <v>45632</v>
          </cell>
          <cell r="MF1">
            <v>45633</v>
          </cell>
          <cell r="MG1">
            <v>45634</v>
          </cell>
          <cell r="MH1">
            <v>45635</v>
          </cell>
          <cell r="MI1">
            <v>45636</v>
          </cell>
          <cell r="MJ1">
            <v>45637</v>
          </cell>
          <cell r="MK1">
            <v>45638</v>
          </cell>
          <cell r="ML1">
            <v>45639</v>
          </cell>
          <cell r="MM1">
            <v>45640</v>
          </cell>
          <cell r="MN1">
            <v>45641</v>
          </cell>
          <cell r="MO1">
            <v>45642</v>
          </cell>
          <cell r="MP1">
            <v>45643</v>
          </cell>
          <cell r="MQ1">
            <v>45644</v>
          </cell>
          <cell r="MR1">
            <v>45645</v>
          </cell>
          <cell r="MS1">
            <v>45646</v>
          </cell>
          <cell r="MT1">
            <v>45647</v>
          </cell>
          <cell r="MU1">
            <v>45648</v>
          </cell>
          <cell r="MV1">
            <v>45649</v>
          </cell>
          <cell r="MW1">
            <v>45650</v>
          </cell>
          <cell r="MX1">
            <v>45651</v>
          </cell>
          <cell r="MY1">
            <v>45652</v>
          </cell>
          <cell r="MZ1">
            <v>45653</v>
          </cell>
          <cell r="NA1">
            <v>45654</v>
          </cell>
          <cell r="NB1">
            <v>45655</v>
          </cell>
          <cell r="NC1">
            <v>45656</v>
          </cell>
          <cell r="ND1">
            <v>45657</v>
          </cell>
        </row>
        <row r="2">
          <cell r="C2">
            <v>242.48</v>
          </cell>
          <cell r="D2">
            <v>262.6</v>
          </cell>
          <cell r="E2">
            <v>268.86</v>
          </cell>
          <cell r="F2">
            <v>270.42</v>
          </cell>
          <cell r="G2">
            <v>268.49</v>
          </cell>
          <cell r="H2">
            <v>265.57</v>
          </cell>
          <cell r="I2">
            <v>263.31</v>
          </cell>
          <cell r="J2">
            <v>271.96</v>
          </cell>
          <cell r="K2">
            <v>269.83</v>
          </cell>
          <cell r="L2">
            <v>271.63</v>
          </cell>
          <cell r="M2">
            <v>268.86</v>
          </cell>
          <cell r="N2">
            <v>266.03</v>
          </cell>
          <cell r="O2">
            <v>260.87</v>
          </cell>
          <cell r="P2">
            <v>255.73</v>
          </cell>
          <cell r="Q2">
            <v>266.33</v>
          </cell>
          <cell r="R2">
            <v>270.7</v>
          </cell>
          <cell r="S2">
            <v>268.59</v>
          </cell>
          <cell r="T2">
            <v>270.44</v>
          </cell>
          <cell r="U2">
            <v>273.23</v>
          </cell>
          <cell r="V2">
            <v>271.87</v>
          </cell>
          <cell r="W2">
            <v>271.63</v>
          </cell>
          <cell r="X2">
            <v>288.11</v>
          </cell>
          <cell r="Y2">
            <v>292.17</v>
          </cell>
          <cell r="Z2">
            <v>290.44</v>
          </cell>
          <cell r="AA2">
            <v>283.71</v>
          </cell>
          <cell r="AB2">
            <v>278.18</v>
          </cell>
          <cell r="AC2">
            <v>269.7</v>
          </cell>
          <cell r="AD2">
            <v>261.7</v>
          </cell>
          <cell r="AE2">
            <v>262.55</v>
          </cell>
          <cell r="AF2">
            <v>256.8</v>
          </cell>
          <cell r="AG2">
            <v>251.57</v>
          </cell>
          <cell r="AH2">
            <v>251.35</v>
          </cell>
          <cell r="AI2">
            <v>250.97</v>
          </cell>
          <cell r="AJ2">
            <v>245.05</v>
          </cell>
          <cell r="AK2">
            <v>243.79</v>
          </cell>
          <cell r="AL2">
            <v>240.06</v>
          </cell>
          <cell r="AM2">
            <v>234.81</v>
          </cell>
          <cell r="AN2">
            <v>227.87</v>
          </cell>
          <cell r="AO2">
            <v>218.22</v>
          </cell>
          <cell r="AP2">
            <v>207.38</v>
          </cell>
          <cell r="AQ2">
            <v>189.75</v>
          </cell>
          <cell r="AR2">
            <v>183.64</v>
          </cell>
          <cell r="AS2">
            <v>181.54</v>
          </cell>
          <cell r="AT2">
            <v>179.76</v>
          </cell>
          <cell r="AU2">
            <v>181.69</v>
          </cell>
          <cell r="AV2">
            <v>189.2</v>
          </cell>
          <cell r="AW2">
            <v>193.55</v>
          </cell>
          <cell r="AX2">
            <v>198.08</v>
          </cell>
          <cell r="AY2">
            <v>206.58</v>
          </cell>
          <cell r="AZ2">
            <v>218.56</v>
          </cell>
          <cell r="BA2">
            <v>233.11</v>
          </cell>
          <cell r="BB2">
            <v>245.32</v>
          </cell>
          <cell r="BC2">
            <v>255.53</v>
          </cell>
          <cell r="BD2">
            <v>261</v>
          </cell>
          <cell r="BE2">
            <v>254.81</v>
          </cell>
          <cell r="BF2">
            <v>254.04</v>
          </cell>
          <cell r="BG2">
            <v>262.04</v>
          </cell>
          <cell r="BH2">
            <v>261.35</v>
          </cell>
          <cell r="BI2">
            <v>263.6</v>
          </cell>
          <cell r="BJ2">
            <v>265.97</v>
          </cell>
          <cell r="BK2">
            <v>267.19</v>
          </cell>
          <cell r="BL2">
            <v>259.83</v>
          </cell>
          <cell r="BM2">
            <v>251.65</v>
          </cell>
          <cell r="BN2">
            <v>258.79</v>
          </cell>
          <cell r="BO2">
            <v>261.14</v>
          </cell>
          <cell r="BP2">
            <v>259.88</v>
          </cell>
          <cell r="BQ2">
            <v>257.37</v>
          </cell>
          <cell r="BR2">
            <v>254.67</v>
          </cell>
          <cell r="BS2">
            <v>251.01</v>
          </cell>
          <cell r="BT2">
            <v>244.69</v>
          </cell>
          <cell r="BU2">
            <v>246.29</v>
          </cell>
          <cell r="BV2">
            <v>246.47</v>
          </cell>
          <cell r="BW2">
            <v>247.6</v>
          </cell>
          <cell r="BX2">
            <v>247.51</v>
          </cell>
          <cell r="BY2">
            <v>244.83</v>
          </cell>
          <cell r="BZ2">
            <v>240.4</v>
          </cell>
          <cell r="CA2">
            <v>236.46</v>
          </cell>
          <cell r="CB2">
            <v>244.77</v>
          </cell>
          <cell r="CC2">
            <v>244.29</v>
          </cell>
          <cell r="CD2">
            <v>241.19</v>
          </cell>
          <cell r="CE2">
            <v>242.02</v>
          </cell>
          <cell r="CF2">
            <v>241.76</v>
          </cell>
          <cell r="CG2">
            <v>239.26</v>
          </cell>
          <cell r="CH2">
            <v>235.24</v>
          </cell>
          <cell r="CI2">
            <v>241.73</v>
          </cell>
          <cell r="CJ2">
            <v>242.41</v>
          </cell>
          <cell r="CK2">
            <v>244.27</v>
          </cell>
          <cell r="CL2">
            <v>242.36</v>
          </cell>
          <cell r="CM2">
            <v>241.65</v>
          </cell>
          <cell r="CN2">
            <v>238.6</v>
          </cell>
          <cell r="CO2">
            <v>233.34</v>
          </cell>
          <cell r="CP2">
            <v>237.25</v>
          </cell>
          <cell r="CQ2">
            <v>239.44</v>
          </cell>
          <cell r="CR2">
            <v>239.43</v>
          </cell>
          <cell r="CS2">
            <v>217.55</v>
          </cell>
          <cell r="CT2">
            <v>222.68</v>
          </cell>
          <cell r="CU2">
            <v>231.56</v>
          </cell>
          <cell r="CV2">
            <v>236.03</v>
          </cell>
          <cell r="CW2">
            <v>237.66</v>
          </cell>
          <cell r="CX2">
            <v>236.99</v>
          </cell>
          <cell r="CY2">
            <v>237.15</v>
          </cell>
          <cell r="CZ2">
            <v>238.11</v>
          </cell>
          <cell r="DA2">
            <v>239.47</v>
          </cell>
          <cell r="DB2">
            <v>238.36</v>
          </cell>
          <cell r="DC2">
            <v>233.36</v>
          </cell>
          <cell r="DD2">
            <v>240.51</v>
          </cell>
          <cell r="DE2">
            <v>241.08</v>
          </cell>
          <cell r="DF2">
            <v>242.23</v>
          </cell>
          <cell r="DG2">
            <v>241.07</v>
          </cell>
          <cell r="DH2">
            <v>239.48</v>
          </cell>
          <cell r="DI2">
            <v>237.31</v>
          </cell>
          <cell r="DJ2">
            <v>230.6</v>
          </cell>
          <cell r="DK2">
            <v>236.5</v>
          </cell>
          <cell r="DL2">
            <v>238.1</v>
          </cell>
          <cell r="DM2">
            <v>238.88</v>
          </cell>
          <cell r="DN2">
            <v>239.7</v>
          </cell>
          <cell r="DO2">
            <v>242.03</v>
          </cell>
          <cell r="DP2">
            <v>241.79</v>
          </cell>
          <cell r="DQ2">
            <v>240.8</v>
          </cell>
          <cell r="DR2">
            <v>241.5</v>
          </cell>
          <cell r="DS2">
            <v>236.06</v>
          </cell>
          <cell r="DT2">
            <v>208.11</v>
          </cell>
          <cell r="DU2">
            <v>209.68</v>
          </cell>
          <cell r="DV2">
            <v>220.05</v>
          </cell>
          <cell r="DW2">
            <v>225.86</v>
          </cell>
          <cell r="DX2">
            <v>230.23</v>
          </cell>
          <cell r="DY2">
            <v>238.07</v>
          </cell>
          <cell r="DZ2">
            <v>240.73</v>
          </cell>
          <cell r="EA2">
            <v>241.5</v>
          </cell>
          <cell r="EB2">
            <v>240.19</v>
          </cell>
          <cell r="EC2">
            <v>241.41</v>
          </cell>
          <cell r="ED2">
            <v>241.58</v>
          </cell>
          <cell r="EE2">
            <v>234.83</v>
          </cell>
          <cell r="EF2">
            <v>239.67</v>
          </cell>
          <cell r="EG2">
            <v>242.49</v>
          </cell>
          <cell r="EH2">
            <v>242.1</v>
          </cell>
          <cell r="EI2">
            <v>242.68</v>
          </cell>
          <cell r="EJ2">
            <v>248.2</v>
          </cell>
          <cell r="EK2">
            <v>247.93</v>
          </cell>
          <cell r="EL2">
            <v>240.42</v>
          </cell>
          <cell r="EM2">
            <v>244.86</v>
          </cell>
          <cell r="EN2">
            <v>247.49</v>
          </cell>
          <cell r="EO2">
            <v>249.69</v>
          </cell>
          <cell r="EP2">
            <v>253.63</v>
          </cell>
          <cell r="EQ2">
            <v>255.27</v>
          </cell>
          <cell r="ER2">
            <v>252.36</v>
          </cell>
          <cell r="ES2">
            <v>247.46</v>
          </cell>
          <cell r="ET2">
            <v>249.91</v>
          </cell>
          <cell r="EU2">
            <v>248.23</v>
          </cell>
          <cell r="EV2">
            <v>246.34</v>
          </cell>
          <cell r="EW2">
            <v>246.21</v>
          </cell>
          <cell r="EX2">
            <v>248.01</v>
          </cell>
          <cell r="EY2">
            <v>241.68</v>
          </cell>
          <cell r="EZ2">
            <v>238.89</v>
          </cell>
          <cell r="FA2">
            <v>248.46</v>
          </cell>
          <cell r="FB2">
            <v>249.13</v>
          </cell>
          <cell r="FC2">
            <v>247.94</v>
          </cell>
          <cell r="FD2">
            <v>248.9</v>
          </cell>
          <cell r="FE2">
            <v>249.09</v>
          </cell>
          <cell r="FF2">
            <v>247.94</v>
          </cell>
          <cell r="FG2">
            <v>242.44</v>
          </cell>
          <cell r="FH2">
            <v>232.22</v>
          </cell>
          <cell r="FI2">
            <v>256.33</v>
          </cell>
          <cell r="FJ2">
            <v>271.29</v>
          </cell>
          <cell r="FK2">
            <v>279.55</v>
          </cell>
          <cell r="FL2">
            <v>281.54</v>
          </cell>
          <cell r="FM2">
            <v>278.78</v>
          </cell>
          <cell r="FN2">
            <v>266.53</v>
          </cell>
          <cell r="FO2">
            <v>272.63</v>
          </cell>
          <cell r="FP2">
            <v>276.15</v>
          </cell>
          <cell r="FQ2">
            <v>276.68</v>
          </cell>
          <cell r="FR2">
            <v>280.65</v>
          </cell>
          <cell r="FS2">
            <v>280.22</v>
          </cell>
          <cell r="FT2">
            <v>278.71</v>
          </cell>
          <cell r="FU2">
            <v>269.94</v>
          </cell>
          <cell r="FV2">
            <v>274.08</v>
          </cell>
          <cell r="FW2">
            <v>273.77</v>
          </cell>
          <cell r="FX2">
            <v>273.7</v>
          </cell>
          <cell r="FY2">
            <v>273.25</v>
          </cell>
          <cell r="FZ2">
            <v>276.19</v>
          </cell>
          <cell r="GA2">
            <v>273.91</v>
          </cell>
          <cell r="GB2">
            <v>270.09</v>
          </cell>
          <cell r="GC2">
            <v>272.99</v>
          </cell>
          <cell r="GD2">
            <v>270.63</v>
          </cell>
          <cell r="GE2">
            <v>275.72</v>
          </cell>
          <cell r="GF2">
            <v>282.68</v>
          </cell>
          <cell r="GG2">
            <v>290.51</v>
          </cell>
          <cell r="GH2">
            <v>291.67</v>
          </cell>
          <cell r="GI2">
            <v>289.63</v>
          </cell>
          <cell r="GJ2">
            <v>298.26</v>
          </cell>
          <cell r="GK2">
            <v>297.15</v>
          </cell>
          <cell r="GL2">
            <v>295.09</v>
          </cell>
          <cell r="GM2">
            <v>292.04</v>
          </cell>
          <cell r="GN2">
            <v>293.52</v>
          </cell>
          <cell r="GO2">
            <v>286.26</v>
          </cell>
          <cell r="GP2">
            <v>278.42</v>
          </cell>
          <cell r="GQ2">
            <v>290.98</v>
          </cell>
          <cell r="GR2">
            <v>297.21</v>
          </cell>
          <cell r="GS2">
            <v>298.77</v>
          </cell>
          <cell r="GT2">
            <v>302.52</v>
          </cell>
          <cell r="GU2">
            <v>307.01</v>
          </cell>
          <cell r="GV2">
            <v>301.3</v>
          </cell>
          <cell r="GW2">
            <v>304.02</v>
          </cell>
          <cell r="GX2">
            <v>317.93</v>
          </cell>
          <cell r="GY2">
            <v>324.63</v>
          </cell>
          <cell r="GZ2">
            <v>325.29</v>
          </cell>
          <cell r="HA2">
            <v>314.63</v>
          </cell>
          <cell r="HB2">
            <v>309.87</v>
          </cell>
          <cell r="HC2">
            <v>297.82</v>
          </cell>
          <cell r="HD2">
            <v>287.03</v>
          </cell>
          <cell r="HE2">
            <v>298.03</v>
          </cell>
          <cell r="HF2">
            <v>300.4</v>
          </cell>
          <cell r="HG2">
            <v>304.5</v>
          </cell>
          <cell r="HH2">
            <v>308.94</v>
          </cell>
          <cell r="HI2">
            <v>316.16</v>
          </cell>
          <cell r="HJ2">
            <v>315.94</v>
          </cell>
          <cell r="HK2">
            <v>307.42</v>
          </cell>
          <cell r="HL2">
            <v>315.35</v>
          </cell>
          <cell r="HM2">
            <v>316.72</v>
          </cell>
          <cell r="HN2">
            <v>316.68</v>
          </cell>
          <cell r="HO2">
            <v>318.57</v>
          </cell>
          <cell r="HP2">
            <v>318.17</v>
          </cell>
          <cell r="HQ2">
            <v>311.46</v>
          </cell>
          <cell r="HR2">
            <v>302.18</v>
          </cell>
          <cell r="HS2">
            <v>309.66</v>
          </cell>
          <cell r="HT2">
            <v>307.54</v>
          </cell>
          <cell r="HU2">
            <v>304.67</v>
          </cell>
          <cell r="HV2">
            <v>302.24</v>
          </cell>
          <cell r="HW2">
            <v>300.52</v>
          </cell>
          <cell r="HX2">
            <v>296.29</v>
          </cell>
          <cell r="HY2">
            <v>286.42</v>
          </cell>
          <cell r="HZ2">
            <v>292.54</v>
          </cell>
          <cell r="IA2">
            <v>295.81</v>
          </cell>
          <cell r="IB2">
            <v>296.63</v>
          </cell>
          <cell r="IC2">
            <v>304.9</v>
          </cell>
          <cell r="ID2">
            <v>313.04</v>
          </cell>
          <cell r="IE2">
            <v>312.01</v>
          </cell>
          <cell r="IF2">
            <v>304.54</v>
          </cell>
          <cell r="IG2">
            <v>306.62</v>
          </cell>
          <cell r="IH2">
            <v>298.92</v>
          </cell>
          <cell r="II2">
            <v>294.41</v>
          </cell>
          <cell r="IJ2">
            <v>295.81</v>
          </cell>
          <cell r="IK2">
            <v>301.48</v>
          </cell>
          <cell r="IL2">
            <v>301.12</v>
          </cell>
          <cell r="IM2">
            <v>297.32</v>
          </cell>
          <cell r="IN2">
            <v>300.91</v>
          </cell>
          <cell r="IO2">
            <v>296.33</v>
          </cell>
          <cell r="IP2">
            <v>301.46</v>
          </cell>
          <cell r="IQ2">
            <v>301.63</v>
          </cell>
          <cell r="IR2">
            <v>292.65</v>
          </cell>
          <cell r="IS2">
            <v>286.78</v>
          </cell>
          <cell r="IT2">
            <v>284.1</v>
          </cell>
          <cell r="IU2">
            <v>296.39</v>
          </cell>
          <cell r="IV2">
            <v>292</v>
          </cell>
          <cell r="IW2">
            <v>285.26</v>
          </cell>
          <cell r="IX2">
            <v>284.4</v>
          </cell>
          <cell r="IY2">
            <v>286.55</v>
          </cell>
          <cell r="IZ2">
            <v>282.8</v>
          </cell>
          <cell r="JA2">
            <v>270.38</v>
          </cell>
          <cell r="JB2">
            <v>257.3</v>
          </cell>
          <cell r="JC2">
            <v>245.69</v>
          </cell>
          <cell r="JD2">
            <v>273.37</v>
          </cell>
          <cell r="JE2">
            <v>284.49</v>
          </cell>
          <cell r="JF2">
            <v>285.59</v>
          </cell>
          <cell r="JG2">
            <v>266.34</v>
          </cell>
          <cell r="JH2">
            <v>250.52</v>
          </cell>
          <cell r="JI2">
            <v>249.92</v>
          </cell>
          <cell r="JJ2">
            <v>252.17</v>
          </cell>
        </row>
        <row r="3">
          <cell r="C3">
            <v>242.48</v>
          </cell>
          <cell r="D3">
            <v>505.09</v>
          </cell>
          <cell r="E3">
            <v>773.94</v>
          </cell>
          <cell r="F3">
            <v>1044.36</v>
          </cell>
          <cell r="G3">
            <v>1312.85</v>
          </cell>
          <cell r="H3">
            <v>1578.42</v>
          </cell>
          <cell r="I3">
            <v>1841.73</v>
          </cell>
          <cell r="J3">
            <v>2113.7</v>
          </cell>
          <cell r="K3">
            <v>2383.53</v>
          </cell>
          <cell r="L3">
            <v>2655.16</v>
          </cell>
          <cell r="M3">
            <v>2924.02</v>
          </cell>
          <cell r="N3">
            <v>3190.05</v>
          </cell>
          <cell r="O3">
            <v>3450.92</v>
          </cell>
          <cell r="P3">
            <v>3706.65</v>
          </cell>
          <cell r="Q3">
            <v>3972.79</v>
          </cell>
          <cell r="R3">
            <v>4243.49</v>
          </cell>
          <cell r="S3">
            <v>4512.08</v>
          </cell>
          <cell r="T3">
            <v>4782.52</v>
          </cell>
          <cell r="U3">
            <v>5055.75</v>
          </cell>
          <cell r="V3">
            <v>5327.62</v>
          </cell>
          <cell r="W3">
            <v>5599.25</v>
          </cell>
          <cell r="X3">
            <v>5887.35</v>
          </cell>
          <cell r="Y3">
            <v>6179.52</v>
          </cell>
          <cell r="Z3">
            <v>6469.96</v>
          </cell>
          <cell r="AA3">
            <v>6753.68</v>
          </cell>
          <cell r="AB3">
            <v>7031.86</v>
          </cell>
          <cell r="AC3">
            <v>7301.56</v>
          </cell>
          <cell r="AD3">
            <v>7563.26</v>
          </cell>
          <cell r="AE3">
            <v>7825.81</v>
          </cell>
          <cell r="AF3">
            <v>8082.61</v>
          </cell>
          <cell r="AG3">
            <v>8334.18</v>
          </cell>
          <cell r="AH3">
            <v>251.35</v>
          </cell>
          <cell r="AI3">
            <v>502.32</v>
          </cell>
          <cell r="AJ3">
            <v>747.37</v>
          </cell>
          <cell r="AK3">
            <v>991.16</v>
          </cell>
          <cell r="AL3">
            <v>1231.22</v>
          </cell>
          <cell r="AM3">
            <v>1466.02</v>
          </cell>
          <cell r="AN3">
            <v>1693.89</v>
          </cell>
          <cell r="AO3">
            <v>1912.12</v>
          </cell>
          <cell r="AP3">
            <v>2119.5</v>
          </cell>
          <cell r="AQ3">
            <v>2309.25</v>
          </cell>
          <cell r="AR3">
            <v>2492.89</v>
          </cell>
          <cell r="AS3">
            <v>2674.43</v>
          </cell>
          <cell r="AT3">
            <v>2854.2</v>
          </cell>
          <cell r="AU3">
            <v>3035.89</v>
          </cell>
          <cell r="AV3">
            <v>3225.08</v>
          </cell>
          <cell r="AW3">
            <v>3418.63</v>
          </cell>
          <cell r="AX3">
            <v>3616.71</v>
          </cell>
          <cell r="AY3">
            <v>3823.29</v>
          </cell>
          <cell r="AZ3">
            <v>4041.85</v>
          </cell>
          <cell r="BA3">
            <v>4274.96</v>
          </cell>
          <cell r="BB3">
            <v>4520.28</v>
          </cell>
          <cell r="BC3">
            <v>4775.81</v>
          </cell>
          <cell r="BD3">
            <v>5036.81</v>
          </cell>
          <cell r="BE3">
            <v>5291.62</v>
          </cell>
          <cell r="BF3">
            <v>5545.66</v>
          </cell>
          <cell r="BG3">
            <v>5807.7</v>
          </cell>
          <cell r="BH3">
            <v>6069.06</v>
          </cell>
          <cell r="BI3">
            <v>6332.66</v>
          </cell>
          <cell r="BJ3">
            <v>6598.63</v>
          </cell>
          <cell r="BK3">
            <v>267.19</v>
          </cell>
          <cell r="BL3">
            <v>527.02</v>
          </cell>
          <cell r="BM3">
            <v>778.67</v>
          </cell>
          <cell r="BN3">
            <v>1037.46</v>
          </cell>
          <cell r="BO3">
            <v>1298.6</v>
          </cell>
          <cell r="BP3">
            <v>1558.48</v>
          </cell>
          <cell r="BQ3">
            <v>1815.83</v>
          </cell>
          <cell r="BR3">
            <v>2070.5</v>
          </cell>
          <cell r="BS3">
            <v>2321.51</v>
          </cell>
          <cell r="BT3">
            <v>2566.2</v>
          </cell>
          <cell r="BU3">
            <v>2812.49</v>
          </cell>
          <cell r="BV3">
            <v>3058.96</v>
          </cell>
          <cell r="BW3">
            <v>3306.56</v>
          </cell>
          <cell r="BX3">
            <v>3554.07</v>
          </cell>
          <cell r="BY3">
            <v>3798.9</v>
          </cell>
          <cell r="BZ3">
            <v>4039.3</v>
          </cell>
          <cell r="CA3">
            <v>4275.76</v>
          </cell>
          <cell r="CB3">
            <v>4520.54</v>
          </cell>
          <cell r="CC3">
            <v>4764.83</v>
          </cell>
          <cell r="CD3">
            <v>5006.01</v>
          </cell>
          <cell r="CE3">
            <v>5248.03</v>
          </cell>
          <cell r="CF3">
            <v>5489.8</v>
          </cell>
          <cell r="CG3">
            <v>5729.06</v>
          </cell>
          <cell r="CH3">
            <v>5964.3</v>
          </cell>
          <cell r="CI3">
            <v>6206.02</v>
          </cell>
          <cell r="CJ3">
            <v>6448.43</v>
          </cell>
          <cell r="CK3">
            <v>6692.7</v>
          </cell>
          <cell r="CL3">
            <v>6935.05</v>
          </cell>
          <cell r="CM3">
            <v>7276.71</v>
          </cell>
          <cell r="CN3">
            <v>7415.31</v>
          </cell>
          <cell r="CO3">
            <v>7648.64</v>
          </cell>
          <cell r="CP3">
            <v>237.25</v>
          </cell>
          <cell r="CQ3">
            <v>476.69</v>
          </cell>
          <cell r="CR3">
            <v>716.12</v>
          </cell>
          <cell r="CS3">
            <v>933.67</v>
          </cell>
          <cell r="CT3">
            <v>1156.34</v>
          </cell>
          <cell r="CU3">
            <v>1387.9</v>
          </cell>
          <cell r="CV3">
            <v>1623.93</v>
          </cell>
          <cell r="CW3">
            <v>1861.59</v>
          </cell>
          <cell r="CX3">
            <v>2098.58</v>
          </cell>
          <cell r="CY3">
            <v>2335.73</v>
          </cell>
          <cell r="CZ3">
            <v>2573.84</v>
          </cell>
          <cell r="DA3">
            <v>2813.31</v>
          </cell>
          <cell r="DB3">
            <v>3051.67</v>
          </cell>
          <cell r="DC3">
            <v>3285.03</v>
          </cell>
          <cell r="DD3">
            <v>3525.54</v>
          </cell>
          <cell r="DE3">
            <v>3766.62</v>
          </cell>
          <cell r="DF3">
            <v>4008.85</v>
          </cell>
          <cell r="DG3">
            <v>4249.92</v>
          </cell>
          <cell r="DH3">
            <v>4489.4</v>
          </cell>
          <cell r="DI3">
            <v>4726.72</v>
          </cell>
          <cell r="DJ3">
            <v>4957.32</v>
          </cell>
          <cell r="DK3">
            <v>5193.82</v>
          </cell>
          <cell r="DL3">
            <v>5431.92</v>
          </cell>
          <cell r="DM3">
            <v>5670.8</v>
          </cell>
          <cell r="DN3">
            <v>5910.49</v>
          </cell>
          <cell r="DO3">
            <v>6152.52</v>
          </cell>
          <cell r="DP3">
            <v>6394.31</v>
          </cell>
          <cell r="DQ3">
            <v>6635.11</v>
          </cell>
          <cell r="DR3">
            <v>6876.6</v>
          </cell>
          <cell r="DS3">
            <v>7112.67</v>
          </cell>
          <cell r="DT3">
            <v>208.11</v>
          </cell>
          <cell r="DU3">
            <v>417.79</v>
          </cell>
          <cell r="DV3">
            <v>637.84</v>
          </cell>
          <cell r="DW3">
            <v>863.7</v>
          </cell>
          <cell r="DX3">
            <v>1093.93</v>
          </cell>
          <cell r="DY3">
            <v>1332</v>
          </cell>
          <cell r="DZ3">
            <v>1572.73</v>
          </cell>
          <cell r="EA3">
            <v>1814.22</v>
          </cell>
          <cell r="EB3">
            <v>2054.41</v>
          </cell>
          <cell r="EC3">
            <v>2295.81</v>
          </cell>
          <cell r="ED3">
            <v>2537.39</v>
          </cell>
          <cell r="EE3">
            <v>2772.22</v>
          </cell>
          <cell r="EF3">
            <v>3011.89</v>
          </cell>
          <cell r="EG3">
            <v>3254.38</v>
          </cell>
          <cell r="EH3">
            <v>3496.48</v>
          </cell>
          <cell r="EI3">
            <v>3739.16</v>
          </cell>
          <cell r="EJ3">
            <v>3987.35</v>
          </cell>
          <cell r="EK3">
            <v>4235.28</v>
          </cell>
          <cell r="EL3">
            <v>4475.71</v>
          </cell>
          <cell r="EM3">
            <v>4720.57</v>
          </cell>
          <cell r="EN3">
            <v>4968.06</v>
          </cell>
          <cell r="EO3">
            <v>5217.75</v>
          </cell>
          <cell r="EP3">
            <v>5471.38</v>
          </cell>
          <cell r="EQ3">
            <v>5726.65</v>
          </cell>
          <cell r="ER3">
            <v>5979</v>
          </cell>
          <cell r="ES3">
            <v>6226.46</v>
          </cell>
          <cell r="ET3">
            <v>6476.37</v>
          </cell>
          <cell r="EU3">
            <v>6724.6</v>
          </cell>
          <cell r="EV3">
            <v>6970.94</v>
          </cell>
          <cell r="EW3">
            <v>7217.14</v>
          </cell>
          <cell r="EX3">
            <v>7465.16</v>
          </cell>
          <cell r="EY3">
            <v>241.68</v>
          </cell>
          <cell r="EZ3">
            <v>480.58</v>
          </cell>
          <cell r="FA3">
            <v>729.04</v>
          </cell>
          <cell r="FB3">
            <v>978.17</v>
          </cell>
          <cell r="FC3">
            <v>1226.11</v>
          </cell>
          <cell r="FD3">
            <v>1475.01</v>
          </cell>
          <cell r="FE3">
            <v>1724.1</v>
          </cell>
          <cell r="FF3">
            <v>1972.04</v>
          </cell>
          <cell r="FG3">
            <v>2214.48</v>
          </cell>
          <cell r="FH3">
            <v>2446.7</v>
          </cell>
          <cell r="FI3">
            <v>2703.02</v>
          </cell>
          <cell r="FJ3">
            <v>2974.32</v>
          </cell>
          <cell r="FK3">
            <v>3253.87</v>
          </cell>
          <cell r="FL3">
            <v>3535.41</v>
          </cell>
          <cell r="FM3">
            <v>3814.19</v>
          </cell>
          <cell r="FN3">
            <v>4080.72</v>
          </cell>
          <cell r="FO3">
            <v>4353.35</v>
          </cell>
          <cell r="FP3">
            <v>4629.5</v>
          </cell>
          <cell r="FQ3">
            <v>4906.18</v>
          </cell>
          <cell r="FR3">
            <v>5186.83</v>
          </cell>
          <cell r="FS3">
            <v>5467.05</v>
          </cell>
          <cell r="FT3">
            <v>5745.76</v>
          </cell>
          <cell r="FU3">
            <v>6015.71</v>
          </cell>
          <cell r="FV3">
            <v>6289.78</v>
          </cell>
          <cell r="FW3">
            <v>6563.56</v>
          </cell>
          <cell r="FX3">
            <v>6837.26</v>
          </cell>
          <cell r="FY3">
            <v>7110.51</v>
          </cell>
          <cell r="FZ3">
            <v>7386.7</v>
          </cell>
          <cell r="GA3">
            <v>7660.61</v>
          </cell>
          <cell r="GB3">
            <v>7930.7</v>
          </cell>
          <cell r="GC3">
            <v>272.99</v>
          </cell>
          <cell r="GD3">
            <v>543.62</v>
          </cell>
          <cell r="GE3">
            <v>819.34</v>
          </cell>
          <cell r="GF3">
            <v>1102.02</v>
          </cell>
          <cell r="GG3">
            <v>1392.53</v>
          </cell>
          <cell r="GH3">
            <v>1684.2</v>
          </cell>
          <cell r="GI3">
            <v>1973.83</v>
          </cell>
          <cell r="GJ3">
            <v>2272.09</v>
          </cell>
          <cell r="GK3">
            <v>2569.24</v>
          </cell>
          <cell r="GL3">
            <v>2864.33</v>
          </cell>
          <cell r="GM3">
            <v>3156.37</v>
          </cell>
          <cell r="GN3">
            <v>3449.89</v>
          </cell>
          <cell r="GO3">
            <v>3736.15</v>
          </cell>
          <cell r="GP3">
            <v>4014.57</v>
          </cell>
          <cell r="GQ3">
            <v>4305.55</v>
          </cell>
          <cell r="GR3">
            <v>4602.75</v>
          </cell>
          <cell r="GS3">
            <v>4901.53</v>
          </cell>
          <cell r="GT3">
            <v>5204.05</v>
          </cell>
          <cell r="GU3">
            <v>5511.05</v>
          </cell>
          <cell r="GV3">
            <v>5812.35</v>
          </cell>
          <cell r="GW3">
            <v>6116.38</v>
          </cell>
          <cell r="GX3">
            <v>6434.3</v>
          </cell>
          <cell r="GY3">
            <v>6758.94</v>
          </cell>
          <cell r="GZ3">
            <v>7084.23</v>
          </cell>
          <cell r="HA3">
            <v>7398.86</v>
          </cell>
          <cell r="HB3">
            <v>7708.73</v>
          </cell>
          <cell r="HC3">
            <v>8006.54</v>
          </cell>
          <cell r="HD3">
            <v>8293.57</v>
          </cell>
          <cell r="HE3">
            <v>8591.6</v>
          </cell>
          <cell r="HF3">
            <v>8892</v>
          </cell>
          <cell r="HG3">
            <v>9196.49</v>
          </cell>
          <cell r="HH3">
            <v>308.94</v>
          </cell>
          <cell r="HI3">
            <v>625.1</v>
          </cell>
          <cell r="HJ3">
            <v>941.03</v>
          </cell>
          <cell r="HK3">
            <v>1248.45</v>
          </cell>
          <cell r="HL3">
            <v>1563.8</v>
          </cell>
          <cell r="HM3">
            <v>1880.53</v>
          </cell>
          <cell r="HN3">
            <v>2197.21</v>
          </cell>
          <cell r="HO3">
            <v>2515.78</v>
          </cell>
          <cell r="HP3">
            <v>2833.95</v>
          </cell>
          <cell r="HQ3">
            <v>3145.41</v>
          </cell>
          <cell r="HR3">
            <v>3447.58</v>
          </cell>
          <cell r="HS3">
            <v>3757.25</v>
          </cell>
          <cell r="HT3">
            <v>4064.78</v>
          </cell>
          <cell r="HU3">
            <v>4369.45</v>
          </cell>
          <cell r="HV3">
            <v>4671.69</v>
          </cell>
          <cell r="HW3">
            <v>4972.22</v>
          </cell>
          <cell r="HX3">
            <v>5269.11</v>
          </cell>
          <cell r="HY3">
            <v>5555.52</v>
          </cell>
          <cell r="HZ3">
            <v>5848.06</v>
          </cell>
          <cell r="IA3">
            <v>6143.87</v>
          </cell>
          <cell r="IB3">
            <v>6440.51</v>
          </cell>
          <cell r="IC3">
            <v>6745.41</v>
          </cell>
          <cell r="ID3">
            <v>7058.45</v>
          </cell>
          <cell r="IE3">
            <v>7370.46</v>
          </cell>
          <cell r="IF3">
            <v>7675</v>
          </cell>
          <cell r="IG3">
            <v>7981.62</v>
          </cell>
          <cell r="IH3">
            <v>8280.54</v>
          </cell>
          <cell r="II3">
            <v>8574.95</v>
          </cell>
          <cell r="IJ3">
            <v>8870.76</v>
          </cell>
          <cell r="IK3">
            <v>9172.23</v>
          </cell>
          <cell r="IL3">
            <v>9473.35</v>
          </cell>
          <cell r="IM3">
            <v>297.32</v>
          </cell>
          <cell r="IN3">
            <v>598.23</v>
          </cell>
          <cell r="IO3">
            <v>894.56</v>
          </cell>
          <cell r="IP3">
            <v>1196.03</v>
          </cell>
          <cell r="IQ3">
            <v>1497.65</v>
          </cell>
          <cell r="IR3">
            <v>1790.3</v>
          </cell>
          <cell r="IS3">
            <v>2077.09</v>
          </cell>
          <cell r="IT3">
            <v>2361.19</v>
          </cell>
          <cell r="IU3">
            <v>2657.58</v>
          </cell>
          <cell r="IV3">
            <v>2949.58</v>
          </cell>
          <cell r="IW3">
            <v>3234.84</v>
          </cell>
          <cell r="IX3">
            <v>3519.23</v>
          </cell>
          <cell r="IY3">
            <v>3805.78</v>
          </cell>
          <cell r="IZ3">
            <v>4088.58</v>
          </cell>
          <cell r="JA3">
            <v>4358.96</v>
          </cell>
          <cell r="JB3">
            <v>4616.26</v>
          </cell>
          <cell r="JC3">
            <v>4861.95</v>
          </cell>
          <cell r="JD3">
            <v>5135.31</v>
          </cell>
          <cell r="JE3">
            <v>5419.8</v>
          </cell>
          <cell r="JF3">
            <v>5705.39</v>
          </cell>
          <cell r="JG3">
            <v>5971.72</v>
          </cell>
          <cell r="JH3">
            <v>6222.24</v>
          </cell>
          <cell r="JI3">
            <v>6472.16</v>
          </cell>
          <cell r="JJ3">
            <v>6724.32</v>
          </cell>
        </row>
        <row r="4">
          <cell r="C4">
            <v>0.0698</v>
          </cell>
          <cell r="D4">
            <v>0.0963</v>
          </cell>
          <cell r="E4">
            <v>0.1016</v>
          </cell>
          <cell r="F4">
            <v>0.1064</v>
          </cell>
          <cell r="G4">
            <v>0.1104</v>
          </cell>
          <cell r="H4">
            <v>0.1152</v>
          </cell>
          <cell r="I4">
            <v>0.1205</v>
          </cell>
          <cell r="J4">
            <v>0.1322</v>
          </cell>
          <cell r="K4">
            <v>0.1389</v>
          </cell>
          <cell r="L4">
            <v>0.1459</v>
          </cell>
          <cell r="M4">
            <v>0.1511</v>
          </cell>
          <cell r="N4">
            <v>0.1564</v>
          </cell>
          <cell r="O4">
            <v>0.1601</v>
          </cell>
          <cell r="P4">
            <v>0.1608</v>
          </cell>
          <cell r="Q4">
            <v>0.1631</v>
          </cell>
          <cell r="R4">
            <v>0.1658</v>
          </cell>
          <cell r="S4">
            <v>0.1693</v>
          </cell>
          <cell r="T4">
            <v>0.1752</v>
          </cell>
          <cell r="U4">
            <v>0.1839</v>
          </cell>
          <cell r="V4">
            <v>0.1926</v>
          </cell>
          <cell r="W4">
            <v>0.202</v>
          </cell>
          <cell r="X4">
            <v>0.2168</v>
          </cell>
          <cell r="Y4">
            <v>0.2305</v>
          </cell>
          <cell r="Z4">
            <v>0.241</v>
          </cell>
          <cell r="AA4">
            <v>0.2484</v>
          </cell>
          <cell r="AB4">
            <v>0.2538</v>
          </cell>
          <cell r="AC4">
            <v>0.2567</v>
          </cell>
          <cell r="AD4">
            <v>0.2567</v>
          </cell>
          <cell r="AE4">
            <v>0.2563</v>
          </cell>
          <cell r="AF4">
            <v>0.2548</v>
          </cell>
          <cell r="AG4">
            <v>0.2527</v>
          </cell>
          <cell r="AH4">
            <v>0.1476</v>
          </cell>
          <cell r="AI4">
            <v>0.1239</v>
          </cell>
          <cell r="AJ4">
            <v>0.1034</v>
          </cell>
          <cell r="AK4">
            <v>0.0952</v>
          </cell>
          <cell r="AL4">
            <v>0.0943</v>
          </cell>
          <cell r="AM4">
            <v>0.0812</v>
          </cell>
          <cell r="AN4">
            <v>0.0642</v>
          </cell>
          <cell r="AO4">
            <v>0.0439</v>
          </cell>
          <cell r="AP4">
            <v>0.0215</v>
          </cell>
          <cell r="AQ4">
            <v>-0.0046</v>
          </cell>
          <cell r="AR4">
            <v>-0.0267</v>
          </cell>
          <cell r="AS4">
            <v>-0.0442</v>
          </cell>
          <cell r="AT4">
            <v>-0.0631</v>
          </cell>
          <cell r="AU4">
            <v>-0.0791</v>
          </cell>
          <cell r="AV4">
            <v>-0.0906</v>
          </cell>
          <cell r="AW4">
            <v>-0.0992</v>
          </cell>
          <cell r="AX4">
            <v>-0.1053</v>
          </cell>
          <cell r="AY4">
            <v>-0.1074</v>
          </cell>
          <cell r="AZ4">
            <v>-0.1056</v>
          </cell>
          <cell r="BA4">
            <v>-0.1021</v>
          </cell>
          <cell r="BB4">
            <v>-0.0975</v>
          </cell>
          <cell r="BC4">
            <v>-0.0919</v>
          </cell>
          <cell r="BD4">
            <v>-0.0858</v>
          </cell>
          <cell r="BE4">
            <v>-0.0812</v>
          </cell>
          <cell r="BF4">
            <v>-0.0762</v>
          </cell>
          <cell r="BG4">
            <v>-0.0692</v>
          </cell>
          <cell r="BH4">
            <v>-0.0635</v>
          </cell>
          <cell r="BI4">
            <v>-0.0576</v>
          </cell>
          <cell r="BJ4">
            <v>-0.0519</v>
          </cell>
          <cell r="BK4">
            <v>0.1288</v>
          </cell>
          <cell r="BL4">
            <v>0.1092</v>
          </cell>
          <cell r="BM4">
            <v>0.0911</v>
          </cell>
          <cell r="BN4">
            <v>0.0955</v>
          </cell>
          <cell r="BO4">
            <v>0.1067</v>
          </cell>
          <cell r="BP4">
            <v>0.1106</v>
          </cell>
          <cell r="BQ4">
            <v>0.1113</v>
          </cell>
          <cell r="BR4">
            <v>0.1109</v>
          </cell>
          <cell r="BS4">
            <v>0.1092</v>
          </cell>
          <cell r="BT4">
            <v>0.105</v>
          </cell>
          <cell r="BU4">
            <v>0.1028</v>
          </cell>
          <cell r="BV4">
            <v>0.1022</v>
          </cell>
          <cell r="BW4">
            <v>0.1003</v>
          </cell>
          <cell r="BX4">
            <v>0.0983</v>
          </cell>
          <cell r="BY4">
            <v>0.0954</v>
          </cell>
          <cell r="BZ4">
            <v>0.0908</v>
          </cell>
          <cell r="CA4">
            <v>0.0847</v>
          </cell>
          <cell r="CB4">
            <v>0.0822</v>
          </cell>
          <cell r="CC4">
            <v>0.0814</v>
          </cell>
          <cell r="CD4">
            <v>0.0788</v>
          </cell>
          <cell r="CE4">
            <v>0.0765</v>
          </cell>
          <cell r="CF4">
            <v>0.0742</v>
          </cell>
          <cell r="CG4">
            <v>0.0714</v>
          </cell>
          <cell r="CH4">
            <v>0.068</v>
          </cell>
          <cell r="CI4">
            <v>0.0667</v>
          </cell>
          <cell r="CJ4">
            <v>0.0671</v>
          </cell>
          <cell r="CK4">
            <v>0.067</v>
          </cell>
          <cell r="CL4">
            <v>0.0665</v>
          </cell>
          <cell r="CM4">
            <v>0.0661</v>
          </cell>
          <cell r="CN4">
            <v>0.0655</v>
          </cell>
          <cell r="CO4">
            <v>0.0645</v>
          </cell>
          <cell r="CP4">
            <v>0.0762</v>
          </cell>
          <cell r="CQ4">
            <v>0.0888</v>
          </cell>
          <cell r="CR4">
            <v>0.086</v>
          </cell>
          <cell r="CS4">
            <v>0.0601</v>
          </cell>
          <cell r="CT4">
            <v>0.0628</v>
          </cell>
          <cell r="CU4">
            <v>0.0608</v>
          </cell>
          <cell r="CV4">
            <v>0.0596</v>
          </cell>
          <cell r="CW4">
            <v>0.0614</v>
          </cell>
          <cell r="CX4">
            <v>0.0648</v>
          </cell>
          <cell r="CY4">
            <v>0.0655</v>
          </cell>
          <cell r="CZ4">
            <v>0.065</v>
          </cell>
          <cell r="DA4">
            <v>0.0653</v>
          </cell>
          <cell r="DB4">
            <v>0.0649</v>
          </cell>
          <cell r="DC4">
            <v>0.0626</v>
          </cell>
          <cell r="DD4">
            <v>0.064</v>
          </cell>
          <cell r="DE4">
            <v>0.0672</v>
          </cell>
          <cell r="DF4">
            <v>0.0676</v>
          </cell>
          <cell r="DG4">
            <v>0.0667</v>
          </cell>
          <cell r="DH4">
            <v>0.0658</v>
          </cell>
          <cell r="DI4">
            <v>0.0647</v>
          </cell>
          <cell r="DJ4">
            <v>0.0624</v>
          </cell>
          <cell r="DK4">
            <v>0.0624</v>
          </cell>
          <cell r="DL4">
            <v>0.0627</v>
          </cell>
          <cell r="DM4">
            <v>0.0624</v>
          </cell>
          <cell r="DN4">
            <v>0.0626</v>
          </cell>
          <cell r="DO4">
            <v>0.0637</v>
          </cell>
          <cell r="DP4">
            <v>0.0644</v>
          </cell>
          <cell r="DQ4">
            <v>0.0647</v>
          </cell>
          <cell r="DR4">
            <v>0.0665</v>
          </cell>
          <cell r="DS4">
            <v>0.0691</v>
          </cell>
          <cell r="DT4">
            <v>0.0987</v>
          </cell>
          <cell r="DU4">
            <v>0.0827</v>
          </cell>
          <cell r="DV4">
            <v>0.0709</v>
          </cell>
          <cell r="DW4">
            <v>0.0556</v>
          </cell>
          <cell r="DX4">
            <v>0.0478</v>
          </cell>
          <cell r="DY4">
            <v>0.0488</v>
          </cell>
          <cell r="DZ4">
            <v>0.0564</v>
          </cell>
          <cell r="EA4">
            <v>0.0613</v>
          </cell>
          <cell r="EB4">
            <v>0.0637</v>
          </cell>
          <cell r="EC4">
            <v>0.0656</v>
          </cell>
          <cell r="ED4">
            <v>0.0677</v>
          </cell>
          <cell r="EE4">
            <v>0.0666</v>
          </cell>
          <cell r="EF4">
            <v>0.0681</v>
          </cell>
          <cell r="EG4">
            <v>0.0719</v>
          </cell>
          <cell r="EH4">
            <v>0.0719</v>
          </cell>
          <cell r="EI4">
            <v>0.0706</v>
          </cell>
          <cell r="EJ4">
            <v>0.0704</v>
          </cell>
          <cell r="EK4">
            <v>0.0696</v>
          </cell>
          <cell r="EL4">
            <v>0.0669</v>
          </cell>
          <cell r="EM4">
            <v>0.0661</v>
          </cell>
          <cell r="EN4">
            <v>0.0676</v>
          </cell>
          <cell r="EO4">
            <v>0.0684</v>
          </cell>
          <cell r="EP4">
            <v>0.0703</v>
          </cell>
          <cell r="EQ4">
            <v>0.0727</v>
          </cell>
          <cell r="ER4">
            <v>0.0741</v>
          </cell>
          <cell r="ES4">
            <v>0.0737</v>
          </cell>
          <cell r="ET4">
            <v>0.0739</v>
          </cell>
          <cell r="EU4">
            <v>0.074</v>
          </cell>
          <cell r="EV4">
            <v>0.0721</v>
          </cell>
          <cell r="EW4">
            <v>0.0696</v>
          </cell>
          <cell r="EX4">
            <v>0.0675</v>
          </cell>
          <cell r="EY4">
            <v>-0.0029</v>
          </cell>
          <cell r="EZ4">
            <v>-0.0152</v>
          </cell>
          <cell r="FA4">
            <v>0</v>
          </cell>
          <cell r="FB4">
            <v>0.0169</v>
          </cell>
          <cell r="FC4">
            <v>0.0209</v>
          </cell>
          <cell r="FD4">
            <v>0.0234</v>
          </cell>
          <cell r="FE4">
            <v>0.0243</v>
          </cell>
          <cell r="FF4">
            <v>0.0232</v>
          </cell>
          <cell r="FG4">
            <v>0.0176</v>
          </cell>
          <cell r="FH4">
            <v>0.0091</v>
          </cell>
          <cell r="FI4">
            <v>0.0135</v>
          </cell>
          <cell r="FJ4">
            <v>0.0193</v>
          </cell>
          <cell r="FK4">
            <v>0.0261</v>
          </cell>
          <cell r="FL4">
            <v>0.0325</v>
          </cell>
          <cell r="FM4">
            <v>0.0368</v>
          </cell>
          <cell r="FN4">
            <v>0.0377</v>
          </cell>
          <cell r="FO4">
            <v>0.0416</v>
          </cell>
          <cell r="FP4">
            <v>0.0469</v>
          </cell>
          <cell r="FQ4">
            <v>0.05</v>
          </cell>
          <cell r="FR4">
            <v>0.0522</v>
          </cell>
          <cell r="FS4">
            <v>0.0537</v>
          </cell>
          <cell r="FT4">
            <v>0.0591</v>
          </cell>
          <cell r="FU4">
            <v>0.0616</v>
          </cell>
          <cell r="FV4">
            <v>0.0635</v>
          </cell>
          <cell r="FW4">
            <v>0.0643</v>
          </cell>
          <cell r="FX4">
            <v>0.0642</v>
          </cell>
          <cell r="FY4">
            <v>0.0626</v>
          </cell>
          <cell r="FZ4">
            <v>0.0608</v>
          </cell>
          <cell r="GA4">
            <v>0.0589</v>
          </cell>
          <cell r="GB4">
            <v>0.0569</v>
          </cell>
          <cell r="GC4">
            <v>0.0213</v>
          </cell>
          <cell r="GD4">
            <v>0.0195</v>
          </cell>
          <cell r="GE4">
            <v>0.0151</v>
          </cell>
          <cell r="GF4">
            <v>0.0235</v>
          </cell>
          <cell r="GG4">
            <v>0.0318</v>
          </cell>
          <cell r="GH4">
            <v>0.0317</v>
          </cell>
          <cell r="GI4">
            <v>0.0282</v>
          </cell>
          <cell r="GJ4">
            <v>0.0299</v>
          </cell>
          <cell r="GK4">
            <v>0.0319</v>
          </cell>
          <cell r="GL4">
            <v>0.0279</v>
          </cell>
          <cell r="GM4">
            <v>0.022</v>
          </cell>
          <cell r="GN4">
            <v>0.0187</v>
          </cell>
          <cell r="GO4">
            <v>0.0157</v>
          </cell>
          <cell r="GP4">
            <v>0.0118</v>
          </cell>
          <cell r="GQ4">
            <v>0.0126</v>
          </cell>
          <cell r="GR4">
            <v>0.0174</v>
          </cell>
          <cell r="GS4">
            <v>0.0206</v>
          </cell>
          <cell r="GT4">
            <v>0.0237</v>
          </cell>
          <cell r="GU4">
            <v>0.0272</v>
          </cell>
          <cell r="GV4">
            <v>0.0293</v>
          </cell>
          <cell r="GW4">
            <v>0.032</v>
          </cell>
          <cell r="GX4">
            <v>0.0375</v>
          </cell>
          <cell r="GY4">
            <v>0.0436</v>
          </cell>
          <cell r="GZ4">
            <v>0.0471</v>
          </cell>
          <cell r="HA4">
            <v>0.0489</v>
          </cell>
          <cell r="HB4">
            <v>0.0498</v>
          </cell>
          <cell r="HC4">
            <v>0.0494</v>
          </cell>
          <cell r="HD4">
            <v>0.0487</v>
          </cell>
          <cell r="HE4">
            <v>0.0507</v>
          </cell>
          <cell r="HF4">
            <v>0.0539</v>
          </cell>
          <cell r="HG4">
            <v>0.0559</v>
          </cell>
          <cell r="HH4">
            <v>0.1246</v>
          </cell>
          <cell r="HI4">
            <v>0.123</v>
          </cell>
          <cell r="HJ4">
            <v>0.1099</v>
          </cell>
          <cell r="HK4">
            <v>0.0877</v>
          </cell>
          <cell r="HL4">
            <v>0.0837</v>
          </cell>
          <cell r="HM4">
            <v>0.0901</v>
          </cell>
          <cell r="HN4">
            <v>0.092</v>
          </cell>
          <cell r="HO4">
            <v>0.093</v>
          </cell>
          <cell r="HP4">
            <v>0.0923</v>
          </cell>
          <cell r="HQ4">
            <v>0.089</v>
          </cell>
          <cell r="HR4">
            <v>0.0836</v>
          </cell>
          <cell r="HS4">
            <v>0.0837</v>
          </cell>
          <cell r="HT4">
            <v>0.0855</v>
          </cell>
          <cell r="HU4">
            <v>0.0832</v>
          </cell>
          <cell r="HV4">
            <v>0.0803</v>
          </cell>
          <cell r="HW4">
            <v>0.0761</v>
          </cell>
          <cell r="HX4">
            <v>0.0715</v>
          </cell>
          <cell r="HY4">
            <v>0.0659</v>
          </cell>
          <cell r="HZ4">
            <v>0.0633</v>
          </cell>
          <cell r="IA4">
            <v>0.0636</v>
          </cell>
          <cell r="IB4">
            <v>0.0632</v>
          </cell>
          <cell r="IC4">
            <v>0.064</v>
          </cell>
          <cell r="ID4">
            <v>0.0664</v>
          </cell>
          <cell r="IE4">
            <v>0.0693</v>
          </cell>
          <cell r="IF4">
            <v>0.0711</v>
          </cell>
          <cell r="IG4">
            <v>0.0744</v>
          </cell>
          <cell r="IH4">
            <v>0.0781</v>
          </cell>
          <cell r="II4">
            <v>0.0806</v>
          </cell>
          <cell r="IJ4">
            <v>0.0838</v>
          </cell>
          <cell r="IK4">
            <v>0.0877</v>
          </cell>
          <cell r="IL4">
            <v>0.0911</v>
          </cell>
          <cell r="IM4">
            <v>0.1996</v>
          </cell>
          <cell r="IN4">
            <v>0.2118</v>
          </cell>
          <cell r="IO4">
            <v>0.2078</v>
          </cell>
          <cell r="IP4">
            <v>0.1927</v>
          </cell>
          <cell r="IQ4">
            <v>0.1798</v>
          </cell>
          <cell r="IR4">
            <v>0.1634</v>
          </cell>
          <cell r="IS4">
            <v>0.1485</v>
          </cell>
          <cell r="IT4">
            <v>0.1366</v>
          </cell>
          <cell r="IU4">
            <v>0.1351</v>
          </cell>
          <cell r="IV4">
            <v>0.1356</v>
          </cell>
          <cell r="IW4">
            <v>0.1313</v>
          </cell>
          <cell r="IX4">
            <v>0.1293</v>
          </cell>
          <cell r="IY4">
            <v>0.1297</v>
          </cell>
          <cell r="IZ4">
            <v>0.1294</v>
          </cell>
          <cell r="JA4">
            <v>0.1257</v>
          </cell>
          <cell r="JB4">
            <v>0.1196</v>
          </cell>
          <cell r="JC4">
            <v>0.1117</v>
          </cell>
          <cell r="JD4">
            <v>0.1074</v>
          </cell>
          <cell r="JE4">
            <v>0.1052</v>
          </cell>
          <cell r="JF4">
            <v>0.1048</v>
          </cell>
          <cell r="JG4">
            <v>0.1023</v>
          </cell>
          <cell r="JH4">
            <v>0.0977</v>
          </cell>
          <cell r="JI4">
            <v>0.0942</v>
          </cell>
          <cell r="JJ4">
            <v>0.092</v>
          </cell>
        </row>
        <row r="6">
          <cell r="C6">
            <v>242.48</v>
          </cell>
          <cell r="D6">
            <v>505.09</v>
          </cell>
          <cell r="E6">
            <v>773.94</v>
          </cell>
          <cell r="F6">
            <v>1044.36</v>
          </cell>
          <cell r="G6">
            <v>1312.85</v>
          </cell>
          <cell r="H6">
            <v>1578.42</v>
          </cell>
          <cell r="I6">
            <v>1841.73</v>
          </cell>
          <cell r="J6">
            <v>2113.7</v>
          </cell>
          <cell r="K6">
            <v>2383.53</v>
          </cell>
          <cell r="L6">
            <v>2655.16</v>
          </cell>
          <cell r="M6">
            <v>2926.02</v>
          </cell>
          <cell r="N6">
            <v>3190.05</v>
          </cell>
          <cell r="O6">
            <v>3450.92</v>
          </cell>
          <cell r="P6">
            <v>3706.65</v>
          </cell>
          <cell r="Q6">
            <v>3972.79</v>
          </cell>
          <cell r="R6">
            <v>4243.49</v>
          </cell>
          <cell r="S6">
            <v>4512.08</v>
          </cell>
          <cell r="T6">
            <v>4782.52</v>
          </cell>
          <cell r="U6">
            <v>5055.75</v>
          </cell>
          <cell r="V6">
            <v>5327.62</v>
          </cell>
          <cell r="W6">
            <v>5599.25</v>
          </cell>
          <cell r="X6">
            <v>5887.35</v>
          </cell>
          <cell r="Y6">
            <v>6179.52</v>
          </cell>
          <cell r="Z6">
            <v>6469.96</v>
          </cell>
          <cell r="AA6">
            <v>6753.68</v>
          </cell>
          <cell r="AB6">
            <v>7031.86</v>
          </cell>
          <cell r="AC6">
            <v>7301.56</v>
          </cell>
          <cell r="AD6">
            <v>7563.26</v>
          </cell>
          <cell r="AE6">
            <v>7825.81</v>
          </cell>
          <cell r="AF6">
            <v>8082.61</v>
          </cell>
          <cell r="AG6">
            <v>8334.18</v>
          </cell>
          <cell r="AH6">
            <v>8585.53</v>
          </cell>
          <cell r="AI6">
            <v>8836.5</v>
          </cell>
          <cell r="AJ6">
            <v>9081.55</v>
          </cell>
          <cell r="AK6">
            <v>9325.34</v>
          </cell>
          <cell r="AL6">
            <v>9565.4</v>
          </cell>
          <cell r="AM6">
            <v>9800.2</v>
          </cell>
          <cell r="AN6">
            <v>10028.07</v>
          </cell>
          <cell r="AO6">
            <v>10246.3</v>
          </cell>
          <cell r="AP6">
            <v>10453.68</v>
          </cell>
          <cell r="AQ6">
            <v>10643.43</v>
          </cell>
          <cell r="AR6">
            <v>10827.07</v>
          </cell>
          <cell r="AS6">
            <v>11008.61</v>
          </cell>
          <cell r="AT6">
            <v>11188.38</v>
          </cell>
          <cell r="AU6">
            <v>11370.07</v>
          </cell>
          <cell r="AV6">
            <v>11559.26</v>
          </cell>
          <cell r="AW6">
            <v>11752.81</v>
          </cell>
          <cell r="AX6">
            <v>11950.89</v>
          </cell>
          <cell r="AY6">
            <v>12157.47</v>
          </cell>
          <cell r="AZ6">
            <v>12376.03</v>
          </cell>
          <cell r="BA6">
            <v>12609.14</v>
          </cell>
          <cell r="BB6">
            <v>12854.46</v>
          </cell>
          <cell r="BC6">
            <v>13109.99</v>
          </cell>
          <cell r="BD6">
            <v>13370.99</v>
          </cell>
          <cell r="BE6">
            <v>13625.8</v>
          </cell>
          <cell r="BF6">
            <v>13879.84</v>
          </cell>
          <cell r="BG6">
            <v>14141.88</v>
          </cell>
          <cell r="BH6">
            <v>14403.24</v>
          </cell>
          <cell r="BI6">
            <v>14666.84</v>
          </cell>
          <cell r="BJ6">
            <v>14932.8</v>
          </cell>
          <cell r="BK6">
            <v>15200</v>
          </cell>
          <cell r="BL6">
            <v>15459.83</v>
          </cell>
          <cell r="BM6">
            <v>15711.47</v>
          </cell>
          <cell r="BN6">
            <v>15970.26</v>
          </cell>
          <cell r="BO6">
            <v>16231.4</v>
          </cell>
          <cell r="BP6">
            <v>16491.29</v>
          </cell>
          <cell r="BQ6">
            <v>16748.63</v>
          </cell>
          <cell r="BR6">
            <v>17003.3</v>
          </cell>
          <cell r="BS6">
            <v>17254.31</v>
          </cell>
          <cell r="BT6">
            <v>17499.01</v>
          </cell>
          <cell r="BU6">
            <v>17745.3</v>
          </cell>
          <cell r="BV6">
            <v>17991.76</v>
          </cell>
          <cell r="BW6">
            <v>18239.36</v>
          </cell>
          <cell r="BX6">
            <v>18486.87</v>
          </cell>
          <cell r="BY6">
            <v>18731.7</v>
          </cell>
          <cell r="BZ6">
            <v>18972.11</v>
          </cell>
          <cell r="CA6">
            <v>19208.57</v>
          </cell>
          <cell r="CB6">
            <v>19453.34</v>
          </cell>
          <cell r="CC6">
            <v>19697.63</v>
          </cell>
          <cell r="CD6">
            <v>19938.82</v>
          </cell>
          <cell r="CE6">
            <v>20180.84</v>
          </cell>
          <cell r="CF6">
            <v>20422.6</v>
          </cell>
          <cell r="CG6">
            <v>20661.86</v>
          </cell>
          <cell r="CH6">
            <v>20897.1</v>
          </cell>
          <cell r="CI6">
            <v>21138.83</v>
          </cell>
          <cell r="CJ6">
            <v>21381.23</v>
          </cell>
          <cell r="CK6">
            <v>21625.5</v>
          </cell>
          <cell r="CL6">
            <v>21867.86</v>
          </cell>
          <cell r="CM6">
            <v>22109.51</v>
          </cell>
          <cell r="CN6">
            <v>22348.11</v>
          </cell>
          <cell r="CO6">
            <v>22581.45</v>
          </cell>
          <cell r="CP6">
            <v>22818.7</v>
          </cell>
          <cell r="CQ6">
            <v>23058.14</v>
          </cell>
          <cell r="CR6">
            <v>23297.57</v>
          </cell>
          <cell r="CS6">
            <v>23515.11</v>
          </cell>
          <cell r="CT6">
            <v>23737.79</v>
          </cell>
          <cell r="CU6">
            <v>23969.35</v>
          </cell>
          <cell r="CV6">
            <v>24205.38</v>
          </cell>
          <cell r="CW6">
            <v>24443.04</v>
          </cell>
          <cell r="CX6">
            <v>24680.03</v>
          </cell>
          <cell r="CY6">
            <v>24917.18</v>
          </cell>
          <cell r="CZ6">
            <v>25155.29</v>
          </cell>
          <cell r="DA6">
            <v>25394.76</v>
          </cell>
          <cell r="DB6">
            <v>25633.12</v>
          </cell>
          <cell r="DC6">
            <v>25866.48</v>
          </cell>
          <cell r="DD6">
            <v>26106.99</v>
          </cell>
          <cell r="DE6">
            <v>26348.07</v>
          </cell>
          <cell r="DF6">
            <v>26590.3</v>
          </cell>
          <cell r="DG6">
            <v>26831.37</v>
          </cell>
          <cell r="DH6">
            <v>27070.85</v>
          </cell>
          <cell r="DI6">
            <v>27308.16</v>
          </cell>
          <cell r="DJ6">
            <v>27538.77</v>
          </cell>
          <cell r="DK6">
            <v>27775.27</v>
          </cell>
          <cell r="DL6">
            <v>28013.37</v>
          </cell>
          <cell r="DM6">
            <v>28252.25</v>
          </cell>
          <cell r="DN6">
            <v>28491.94</v>
          </cell>
          <cell r="DO6">
            <v>28733.97</v>
          </cell>
          <cell r="DP6">
            <v>28975.76</v>
          </cell>
          <cell r="DQ6">
            <v>29216.56</v>
          </cell>
          <cell r="DR6">
            <v>29458.05</v>
          </cell>
          <cell r="DS6">
            <v>29694.12</v>
          </cell>
          <cell r="DT6">
            <v>29902.22</v>
          </cell>
          <cell r="DU6">
            <v>30111.91</v>
          </cell>
          <cell r="DV6">
            <v>30331.96</v>
          </cell>
          <cell r="DW6">
            <v>30557.82</v>
          </cell>
          <cell r="DX6">
            <v>30788.04</v>
          </cell>
          <cell r="DY6">
            <v>31026.11</v>
          </cell>
          <cell r="DZ6">
            <v>31266.84</v>
          </cell>
          <cell r="EA6">
            <v>31508.34</v>
          </cell>
          <cell r="EB6">
            <v>31748.52</v>
          </cell>
          <cell r="EC6">
            <v>31989.93</v>
          </cell>
          <cell r="ED6">
            <v>32231.51</v>
          </cell>
          <cell r="EE6">
            <v>32466.34</v>
          </cell>
          <cell r="EF6">
            <v>32706.01</v>
          </cell>
          <cell r="EG6">
            <v>32948.5</v>
          </cell>
          <cell r="EH6">
            <v>33190.6</v>
          </cell>
          <cell r="EI6">
            <v>33433.27</v>
          </cell>
          <cell r="EJ6">
            <v>33681.47</v>
          </cell>
          <cell r="EK6">
            <v>33929.4</v>
          </cell>
          <cell r="EL6">
            <v>34169.82</v>
          </cell>
          <cell r="EM6">
            <v>34414.68</v>
          </cell>
          <cell r="EN6">
            <v>34662.17</v>
          </cell>
          <cell r="EO6">
            <v>34911.87</v>
          </cell>
          <cell r="EP6">
            <v>35165.5</v>
          </cell>
          <cell r="EQ6">
            <v>35420.76</v>
          </cell>
          <cell r="ER6">
            <v>35673.12</v>
          </cell>
          <cell r="ES6">
            <v>35920.58</v>
          </cell>
          <cell r="ET6">
            <v>36170.49</v>
          </cell>
          <cell r="EU6">
            <v>36418.71</v>
          </cell>
          <cell r="EV6">
            <v>36665.05</v>
          </cell>
          <cell r="EW6">
            <v>36911.26</v>
          </cell>
          <cell r="EX6">
            <v>37159.27</v>
          </cell>
          <cell r="EY6">
            <v>37400.96</v>
          </cell>
          <cell r="EZ6">
            <v>37639.85</v>
          </cell>
          <cell r="FA6">
            <v>37888.31</v>
          </cell>
          <cell r="FB6">
            <v>38137.44</v>
          </cell>
          <cell r="FC6">
            <v>38385.38</v>
          </cell>
          <cell r="FD6">
            <v>38634.28</v>
          </cell>
          <cell r="FE6">
            <v>38883.37</v>
          </cell>
          <cell r="FF6">
            <v>39131.31</v>
          </cell>
          <cell r="FG6">
            <v>39373.75</v>
          </cell>
          <cell r="FH6">
            <v>39605.97</v>
          </cell>
          <cell r="FI6">
            <v>39862.3</v>
          </cell>
          <cell r="FJ6">
            <v>40133.59</v>
          </cell>
          <cell r="FK6">
            <v>40413.15</v>
          </cell>
          <cell r="FL6">
            <v>40694.69</v>
          </cell>
          <cell r="FM6">
            <v>40973.46</v>
          </cell>
          <cell r="FN6">
            <v>41240</v>
          </cell>
          <cell r="FO6">
            <v>41512.63</v>
          </cell>
          <cell r="FP6">
            <v>41788.78</v>
          </cell>
          <cell r="FQ6">
            <v>42065.46</v>
          </cell>
          <cell r="FR6">
            <v>42346.1</v>
          </cell>
          <cell r="FS6">
            <v>42626.32</v>
          </cell>
          <cell r="FT6">
            <v>42905.04</v>
          </cell>
          <cell r="FU6">
            <v>43174.98</v>
          </cell>
          <cell r="FV6">
            <v>43449.06</v>
          </cell>
          <cell r="FW6">
            <v>43722.83</v>
          </cell>
          <cell r="FX6">
            <v>43996.53</v>
          </cell>
          <cell r="FY6">
            <v>44269.78</v>
          </cell>
          <cell r="FZ6">
            <v>44545.97</v>
          </cell>
          <cell r="GA6">
            <v>44819.88</v>
          </cell>
          <cell r="GB6">
            <v>45089.97</v>
          </cell>
          <cell r="GC6">
            <v>45362.95</v>
          </cell>
          <cell r="GD6">
            <v>45633.59</v>
          </cell>
          <cell r="GE6">
            <v>45909.31</v>
          </cell>
          <cell r="GF6">
            <v>46191.98</v>
          </cell>
          <cell r="GG6">
            <v>46482.5</v>
          </cell>
          <cell r="GH6">
            <v>46774.17</v>
          </cell>
          <cell r="GI6">
            <v>47063.8</v>
          </cell>
          <cell r="GJ6">
            <v>47362.06</v>
          </cell>
          <cell r="GK6">
            <v>47659.21</v>
          </cell>
          <cell r="GL6">
            <v>47954.3</v>
          </cell>
          <cell r="GM6">
            <v>48246.34</v>
          </cell>
          <cell r="GN6">
            <v>48539.86</v>
          </cell>
          <cell r="GO6">
            <v>48826.12</v>
          </cell>
          <cell r="GP6">
            <v>49104.54</v>
          </cell>
          <cell r="GQ6">
            <v>49395.51</v>
          </cell>
          <cell r="GR6">
            <v>49692.72</v>
          </cell>
          <cell r="GS6">
            <v>49991.5</v>
          </cell>
          <cell r="GT6">
            <v>50294.02</v>
          </cell>
          <cell r="GU6">
            <v>50601.02</v>
          </cell>
          <cell r="GV6">
            <v>50902.32</v>
          </cell>
          <cell r="GW6">
            <v>51206.35</v>
          </cell>
          <cell r="GX6">
            <v>51524.27</v>
          </cell>
          <cell r="GY6">
            <v>51848.91</v>
          </cell>
          <cell r="GZ6">
            <v>52174.19</v>
          </cell>
          <cell r="HA6">
            <v>52488.83</v>
          </cell>
          <cell r="HB6">
            <v>52798.7</v>
          </cell>
          <cell r="HC6">
            <v>53096.51</v>
          </cell>
          <cell r="HD6">
            <v>53383.54</v>
          </cell>
          <cell r="HE6">
            <v>53681.57</v>
          </cell>
          <cell r="HF6">
            <v>53981.97</v>
          </cell>
          <cell r="HG6">
            <v>54286.46</v>
          </cell>
          <cell r="HH6">
            <v>54595.4</v>
          </cell>
          <cell r="HI6">
            <v>54911.56</v>
          </cell>
          <cell r="HJ6">
            <v>55227.5</v>
          </cell>
          <cell r="HK6">
            <v>55534.91</v>
          </cell>
          <cell r="HL6">
            <v>55850.27</v>
          </cell>
          <cell r="HM6">
            <v>56166.99</v>
          </cell>
          <cell r="HN6">
            <v>56483.67</v>
          </cell>
          <cell r="HO6">
            <v>56802.24</v>
          </cell>
          <cell r="HP6">
            <v>57120.41</v>
          </cell>
          <cell r="HQ6">
            <v>57431.87</v>
          </cell>
          <cell r="HR6">
            <v>57734.05</v>
          </cell>
          <cell r="HS6">
            <v>58043.71</v>
          </cell>
          <cell r="HT6">
            <v>58351.25</v>
          </cell>
          <cell r="HU6">
            <v>58655.92</v>
          </cell>
          <cell r="HV6">
            <v>58958.16</v>
          </cell>
          <cell r="HW6">
            <v>59258.68</v>
          </cell>
          <cell r="HX6">
            <v>59555.57</v>
          </cell>
          <cell r="HY6">
            <v>59841.99</v>
          </cell>
          <cell r="HZ6">
            <v>60134.53</v>
          </cell>
          <cell r="IA6">
            <v>60430.34</v>
          </cell>
          <cell r="IB6">
            <v>60726.97</v>
          </cell>
          <cell r="IC6">
            <v>61031.87</v>
          </cell>
          <cell r="ID6">
            <v>61344.91</v>
          </cell>
          <cell r="IE6">
            <v>61656.93</v>
          </cell>
          <cell r="IF6">
            <v>61961.47</v>
          </cell>
          <cell r="IG6">
            <v>62268.08</v>
          </cell>
          <cell r="IH6">
            <v>62567</v>
          </cell>
          <cell r="II6">
            <v>62861.41</v>
          </cell>
          <cell r="IJ6">
            <v>63157.22</v>
          </cell>
          <cell r="IK6">
            <v>63458.7</v>
          </cell>
          <cell r="IL6">
            <v>63759.81</v>
          </cell>
          <cell r="IM6">
            <v>64057.13</v>
          </cell>
          <cell r="IN6">
            <v>64358.05</v>
          </cell>
          <cell r="IO6">
            <v>64654.38</v>
          </cell>
          <cell r="IP6">
            <v>64955.84</v>
          </cell>
          <cell r="IQ6">
            <v>65257.47</v>
          </cell>
          <cell r="IR6">
            <v>65550.12</v>
          </cell>
          <cell r="IS6">
            <v>65836.91</v>
          </cell>
          <cell r="IT6">
            <v>66121</v>
          </cell>
          <cell r="IU6">
            <v>66417.39</v>
          </cell>
          <cell r="IV6">
            <v>66709.39</v>
          </cell>
          <cell r="IW6">
            <v>66994.65</v>
          </cell>
          <cell r="IX6">
            <v>67279.06</v>
          </cell>
          <cell r="IY6">
            <v>67565.6</v>
          </cell>
          <cell r="IZ6">
            <v>67848.4</v>
          </cell>
          <cell r="JA6">
            <v>68118.77</v>
          </cell>
          <cell r="JB6">
            <v>68376.07</v>
          </cell>
          <cell r="JC6">
            <v>68621.76</v>
          </cell>
          <cell r="JD6">
            <v>68895.13</v>
          </cell>
          <cell r="JE6">
            <v>69179.61</v>
          </cell>
          <cell r="JF6">
            <v>69465.2</v>
          </cell>
          <cell r="JG6">
            <v>69731.54</v>
          </cell>
          <cell r="JH6">
            <v>69982.05</v>
          </cell>
          <cell r="JI6">
            <v>70231.97</v>
          </cell>
          <cell r="JJ6">
            <v>70484.14</v>
          </cell>
        </row>
        <row r="7">
          <cell r="C7">
            <v>0.0698</v>
          </cell>
          <cell r="D7">
            <v>0.0963</v>
          </cell>
          <cell r="E7">
            <v>0.1016</v>
          </cell>
          <cell r="F7">
            <v>0.1064</v>
          </cell>
          <cell r="G7">
            <v>0.1104</v>
          </cell>
          <cell r="H7">
            <v>0.1152</v>
          </cell>
          <cell r="I7">
            <v>0.1205</v>
          </cell>
          <cell r="J7">
            <v>0.1322</v>
          </cell>
          <cell r="K7">
            <v>0.1389</v>
          </cell>
          <cell r="L7">
            <v>0.1459</v>
          </cell>
          <cell r="M7">
            <v>0.1511</v>
          </cell>
          <cell r="N7">
            <v>0.1564</v>
          </cell>
          <cell r="O7">
            <v>0.1601</v>
          </cell>
          <cell r="P7">
            <v>0.1608</v>
          </cell>
          <cell r="Q7">
            <v>0.1631</v>
          </cell>
          <cell r="R7">
            <v>0.1658</v>
          </cell>
          <cell r="S7">
            <v>0.1693</v>
          </cell>
          <cell r="T7">
            <v>0.1752</v>
          </cell>
          <cell r="U7">
            <v>0.1839</v>
          </cell>
          <cell r="V7">
            <v>0.1926</v>
          </cell>
          <cell r="W7">
            <v>0.202</v>
          </cell>
          <cell r="X7">
            <v>0.2168</v>
          </cell>
          <cell r="Y7">
            <v>0.2305</v>
          </cell>
          <cell r="Z7">
            <v>0.241</v>
          </cell>
          <cell r="AA7">
            <v>0.2484</v>
          </cell>
          <cell r="AB7">
            <v>0.2538</v>
          </cell>
          <cell r="AC7">
            <v>0.2567</v>
          </cell>
          <cell r="AD7">
            <v>0.2567</v>
          </cell>
          <cell r="AE7">
            <v>0.2563</v>
          </cell>
          <cell r="AF7">
            <v>0.2548</v>
          </cell>
          <cell r="AG7">
            <v>0.2527</v>
          </cell>
          <cell r="AH7">
            <v>0.2493</v>
          </cell>
          <cell r="AI7">
            <v>0.2445</v>
          </cell>
          <cell r="AJ7">
            <v>0.2389</v>
          </cell>
          <cell r="AK7">
            <v>0.2338</v>
          </cell>
          <cell r="AL7">
            <v>0.2297</v>
          </cell>
          <cell r="AM7">
            <v>0.2236</v>
          </cell>
          <cell r="AN7">
            <v>0.2163</v>
          </cell>
          <cell r="AO7">
            <v>0.2076</v>
          </cell>
          <cell r="AP7">
            <v>0.1977</v>
          </cell>
          <cell r="AQ7">
            <v>0.1861</v>
          </cell>
          <cell r="AR7">
            <v>0.175</v>
          </cell>
          <cell r="AS7">
            <v>0.1648</v>
          </cell>
          <cell r="AT7">
            <v>0.1535</v>
          </cell>
          <cell r="AU7">
            <v>0.1427</v>
          </cell>
          <cell r="AV7">
            <v>0.1333</v>
          </cell>
          <cell r="AW7">
            <v>0.1248</v>
          </cell>
          <cell r="AX7">
            <v>0.1174</v>
          </cell>
          <cell r="AY7">
            <v>0.1116</v>
          </cell>
          <cell r="AZ7">
            <v>0.1078</v>
          </cell>
          <cell r="BA7">
            <v>0.1047</v>
          </cell>
          <cell r="BB7">
            <v>0.1022</v>
          </cell>
          <cell r="BC7">
            <v>0.1005</v>
          </cell>
          <cell r="BD7">
            <v>0.0993</v>
          </cell>
          <cell r="BE7">
            <v>0.0978</v>
          </cell>
          <cell r="BF7">
            <v>0.0967</v>
          </cell>
          <cell r="BG7">
            <v>0.0969</v>
          </cell>
          <cell r="BH7">
            <v>0.0967</v>
          </cell>
          <cell r="BI7">
            <v>0.0968</v>
          </cell>
          <cell r="BJ7">
            <v>0.1166</v>
          </cell>
          <cell r="BK7">
            <v>0.1169</v>
          </cell>
          <cell r="BL7">
            <v>0.1164</v>
          </cell>
          <cell r="BM7">
            <v>0.1153</v>
          </cell>
          <cell r="BN7">
            <v>0.1152</v>
          </cell>
          <cell r="BO7">
            <v>0.1158</v>
          </cell>
          <cell r="BP7">
            <v>0.1161</v>
          </cell>
          <cell r="BQ7">
            <v>0.1161</v>
          </cell>
          <cell r="BR7">
            <v>0.1159</v>
          </cell>
          <cell r="BS7">
            <v>0.1156</v>
          </cell>
          <cell r="BT7">
            <v>0.1149</v>
          </cell>
          <cell r="BU7">
            <v>0.1144</v>
          </cell>
          <cell r="BV7">
            <v>0.1142</v>
          </cell>
          <cell r="BW7">
            <v>0.1136</v>
          </cell>
          <cell r="BX7">
            <v>0.1131</v>
          </cell>
          <cell r="BY7">
            <v>0.1123</v>
          </cell>
          <cell r="BZ7">
            <v>0.111</v>
          </cell>
          <cell r="CA7">
            <v>0.1094</v>
          </cell>
          <cell r="CB7">
            <v>0.1084</v>
          </cell>
          <cell r="CC7">
            <v>0.1079</v>
          </cell>
          <cell r="CD7">
            <v>0.1069</v>
          </cell>
          <cell r="CE7">
            <v>0.1059</v>
          </cell>
          <cell r="CF7">
            <v>0.1049</v>
          </cell>
          <cell r="CG7">
            <v>0.1037</v>
          </cell>
          <cell r="CH7">
            <v>0.1023</v>
          </cell>
          <cell r="CI7">
            <v>0.1015</v>
          </cell>
          <cell r="CJ7">
            <v>0.1012</v>
          </cell>
          <cell r="CK7">
            <v>0.1008</v>
          </cell>
          <cell r="CL7">
            <v>0.1002</v>
          </cell>
          <cell r="CM7">
            <v>0.0997</v>
          </cell>
          <cell r="CN7">
            <v>0.0991</v>
          </cell>
          <cell r="CO7">
            <v>0.0984</v>
          </cell>
          <cell r="CP7">
            <v>0.0982</v>
          </cell>
          <cell r="CQ7">
            <v>0.0982</v>
          </cell>
          <cell r="CR7">
            <v>0.098</v>
          </cell>
          <cell r="CS7">
            <v>0.0969</v>
          </cell>
          <cell r="CT7">
            <v>0.0966</v>
          </cell>
          <cell r="CU7">
            <v>0.0962</v>
          </cell>
          <cell r="CV7">
            <v>0.0957</v>
          </cell>
          <cell r="CW7">
            <v>0.0955</v>
          </cell>
          <cell r="CX7">
            <v>0.0955</v>
          </cell>
          <cell r="CY7">
            <v>0.0953</v>
          </cell>
          <cell r="CZ7">
            <v>0.0949</v>
          </cell>
          <cell r="DA7">
            <v>0.0947</v>
          </cell>
          <cell r="DB7">
            <v>0.0943</v>
          </cell>
          <cell r="DC7">
            <v>0.0937</v>
          </cell>
          <cell r="DD7">
            <v>0.0937</v>
          </cell>
          <cell r="DE7">
            <v>0.0939</v>
          </cell>
          <cell r="DF7">
            <v>0.0937</v>
          </cell>
          <cell r="DG7">
            <v>0.0933</v>
          </cell>
          <cell r="DH7">
            <v>0.0929</v>
          </cell>
          <cell r="DI7">
            <v>0.0924</v>
          </cell>
          <cell r="DJ7">
            <v>0.0918</v>
          </cell>
          <cell r="DK7">
            <v>0.0915</v>
          </cell>
          <cell r="DL7">
            <v>0.0913</v>
          </cell>
          <cell r="DM7">
            <v>0.091</v>
          </cell>
          <cell r="DN7">
            <v>0.0908</v>
          </cell>
          <cell r="DO7">
            <v>0.0908</v>
          </cell>
          <cell r="DP7">
            <v>0.0907</v>
          </cell>
          <cell r="DQ7">
            <v>0.0906</v>
          </cell>
          <cell r="DR7">
            <v>0.0908</v>
          </cell>
          <cell r="DS7">
            <v>0.0913</v>
          </cell>
          <cell r="DT7">
            <v>0.0913</v>
          </cell>
          <cell r="DU7">
            <v>0.0911</v>
          </cell>
          <cell r="DV7">
            <v>0.0908</v>
          </cell>
          <cell r="DW7">
            <v>0.0902</v>
          </cell>
          <cell r="DX7">
            <v>0.0897</v>
          </cell>
          <cell r="DY7">
            <v>0.0894</v>
          </cell>
          <cell r="DZ7">
            <v>0.0895</v>
          </cell>
          <cell r="EA7">
            <v>0.0895</v>
          </cell>
          <cell r="EB7">
            <v>0.0894</v>
          </cell>
          <cell r="EC7">
            <v>0.0894</v>
          </cell>
          <cell r="ED7">
            <v>0.0894</v>
          </cell>
          <cell r="EE7">
            <v>0.0891</v>
          </cell>
          <cell r="EF7">
            <v>0.0891</v>
          </cell>
          <cell r="EG7">
            <v>0.0893</v>
          </cell>
          <cell r="EH7">
            <v>0.0892</v>
          </cell>
          <cell r="EI7">
            <v>0.0889</v>
          </cell>
          <cell r="EJ7">
            <v>0.0887</v>
          </cell>
          <cell r="EK7">
            <v>0.0885</v>
          </cell>
          <cell r="EL7">
            <v>0.088</v>
          </cell>
          <cell r="EM7">
            <v>0.0877</v>
          </cell>
          <cell r="EN7">
            <v>0.0878</v>
          </cell>
          <cell r="EO7">
            <v>0.0878</v>
          </cell>
          <cell r="EP7">
            <v>0.088</v>
          </cell>
          <cell r="EQ7">
            <v>0.0882</v>
          </cell>
          <cell r="ER7">
            <v>0.0883</v>
          </cell>
          <cell r="ES7">
            <v>0.0882</v>
          </cell>
          <cell r="ET7">
            <v>0.0881</v>
          </cell>
          <cell r="EU7">
            <v>0.088</v>
          </cell>
          <cell r="EV7">
            <v>0.0876</v>
          </cell>
          <cell r="EW7">
            <v>0.087</v>
          </cell>
          <cell r="EX7">
            <v>0.0864</v>
          </cell>
          <cell r="EY7">
            <v>0.0858</v>
          </cell>
          <cell r="EZ7">
            <v>0.085</v>
          </cell>
          <cell r="FA7">
            <v>0.0846</v>
          </cell>
          <cell r="FB7">
            <v>0.0845</v>
          </cell>
          <cell r="FC7">
            <v>0.0842</v>
          </cell>
          <cell r="FD7">
            <v>0.0839</v>
          </cell>
          <cell r="FE7">
            <v>0.0835</v>
          </cell>
          <cell r="FF7">
            <v>0.083</v>
          </cell>
          <cell r="FG7">
            <v>0.0823</v>
          </cell>
          <cell r="FH7">
            <v>0.0813</v>
          </cell>
          <cell r="FI7">
            <v>0.0811</v>
          </cell>
          <cell r="FJ7">
            <v>0.0811</v>
          </cell>
          <cell r="FK7">
            <v>0.0813</v>
          </cell>
          <cell r="FL7">
            <v>0.0815</v>
          </cell>
          <cell r="FM7">
            <v>0.0816</v>
          </cell>
          <cell r="FN7">
            <v>0.0814</v>
          </cell>
          <cell r="FO7">
            <v>0.0815</v>
          </cell>
          <cell r="FP7">
            <v>0.0819</v>
          </cell>
          <cell r="FQ7">
            <v>0.082</v>
          </cell>
          <cell r="FR7">
            <v>0.0821</v>
          </cell>
          <cell r="FS7">
            <v>0.0821</v>
          </cell>
          <cell r="FT7">
            <v>0.0827</v>
          </cell>
          <cell r="FU7">
            <v>0.0829</v>
          </cell>
          <cell r="FV7">
            <v>0.083</v>
          </cell>
          <cell r="FW7">
            <v>0.083</v>
          </cell>
          <cell r="FX7">
            <v>0.0829</v>
          </cell>
          <cell r="FY7">
            <v>0.0825</v>
          </cell>
          <cell r="FZ7">
            <v>0.0821</v>
          </cell>
          <cell r="GA7">
            <v>0.0816</v>
          </cell>
          <cell r="GB7">
            <v>0.0811</v>
          </cell>
          <cell r="GC7">
            <v>0.0807</v>
          </cell>
          <cell r="GD7">
            <v>0.0803</v>
          </cell>
          <cell r="GE7">
            <v>0.0799</v>
          </cell>
          <cell r="GF7">
            <v>0.0797</v>
          </cell>
          <cell r="GG7">
            <v>0.0796</v>
          </cell>
          <cell r="GH7">
            <v>0.0792</v>
          </cell>
          <cell r="GI7">
            <v>0.0788</v>
          </cell>
          <cell r="GJ7">
            <v>0.0785</v>
          </cell>
          <cell r="GK7">
            <v>0.0783</v>
          </cell>
          <cell r="GL7">
            <v>0.0778</v>
          </cell>
          <cell r="GM7">
            <v>0.077</v>
          </cell>
          <cell r="GN7">
            <v>0.0764</v>
          </cell>
          <cell r="GO7">
            <v>0.0758</v>
          </cell>
          <cell r="GP7">
            <v>0.0751</v>
          </cell>
          <cell r="GQ7">
            <v>0.0748</v>
          </cell>
          <cell r="GR7">
            <v>0.0749</v>
          </cell>
          <cell r="GS7">
            <v>0.0749</v>
          </cell>
          <cell r="GT7">
            <v>0.0749</v>
          </cell>
          <cell r="GU7">
            <v>0.075</v>
          </cell>
          <cell r="GV7">
            <v>0.0749</v>
          </cell>
          <cell r="GW7">
            <v>0.075</v>
          </cell>
          <cell r="GX7">
            <v>0.0755</v>
          </cell>
          <cell r="GY7">
            <v>0.0761</v>
          </cell>
          <cell r="GZ7">
            <v>0.0764</v>
          </cell>
          <cell r="HA7">
            <v>0.0764</v>
          </cell>
          <cell r="HB7">
            <v>0.0764</v>
          </cell>
          <cell r="HC7">
            <v>0.0762</v>
          </cell>
          <cell r="HD7">
            <v>0.0759</v>
          </cell>
          <cell r="HE7">
            <v>0.0761</v>
          </cell>
          <cell r="HF7">
            <v>0.0765</v>
          </cell>
          <cell r="HG7">
            <v>0.0767</v>
          </cell>
          <cell r="HH7">
            <v>0.077</v>
          </cell>
          <cell r="HI7">
            <v>0.0722</v>
          </cell>
          <cell r="HJ7">
            <v>0.0773</v>
          </cell>
          <cell r="HK7">
            <v>0.077</v>
          </cell>
          <cell r="HL7">
            <v>0.0769</v>
          </cell>
          <cell r="HM7">
            <v>0.0772</v>
          </cell>
          <cell r="HN7">
            <v>0.0773</v>
          </cell>
          <cell r="HO7">
            <v>0.0775</v>
          </cell>
          <cell r="HP7">
            <v>0.0775</v>
          </cell>
          <cell r="HQ7">
            <v>0.0774</v>
          </cell>
          <cell r="HR7">
            <v>0.0772</v>
          </cell>
          <cell r="HS7">
            <v>0.0772</v>
          </cell>
          <cell r="HT7">
            <v>0.0774</v>
          </cell>
          <cell r="HU7">
            <v>0.0772</v>
          </cell>
          <cell r="HV7">
            <v>0.077</v>
          </cell>
          <cell r="HW7">
            <v>0.0767</v>
          </cell>
          <cell r="HX7">
            <v>0.0763</v>
          </cell>
          <cell r="HY7">
            <v>0.0757</v>
          </cell>
          <cell r="HZ7">
            <v>0.0754</v>
          </cell>
          <cell r="IA7">
            <v>0.0754</v>
          </cell>
          <cell r="IB7">
            <v>0.0753</v>
          </cell>
          <cell r="IC7">
            <v>0.0753</v>
          </cell>
          <cell r="ID7">
            <v>0.0755</v>
          </cell>
          <cell r="IE7">
            <v>0.0759</v>
          </cell>
          <cell r="IF7">
            <v>0.076</v>
          </cell>
          <cell r="IG7">
            <v>0.0764</v>
          </cell>
          <cell r="IH7">
            <v>0.0769</v>
          </cell>
          <cell r="II7">
            <v>0.0773</v>
          </cell>
          <cell r="IJ7">
            <v>0.0777</v>
          </cell>
          <cell r="IK7">
            <v>0.0783</v>
          </cell>
          <cell r="IL7">
            <v>0.0789</v>
          </cell>
          <cell r="IM7">
            <v>0.0794</v>
          </cell>
          <cell r="IN7">
            <v>0.08</v>
          </cell>
          <cell r="IO7">
            <v>0.0805</v>
          </cell>
          <cell r="IP7">
            <v>0.0808</v>
          </cell>
          <cell r="IQ7">
            <v>0.081</v>
          </cell>
          <cell r="IR7">
            <v>0.081</v>
          </cell>
          <cell r="IS7">
            <v>0.0809</v>
          </cell>
          <cell r="IT7">
            <v>0.0808</v>
          </cell>
          <cell r="IU7">
            <v>0.081</v>
          </cell>
          <cell r="IV7">
            <v>0.0813</v>
          </cell>
          <cell r="IW7">
            <v>0.0813</v>
          </cell>
          <cell r="IX7">
            <v>0.0814</v>
          </cell>
          <cell r="IY7">
            <v>0.0816</v>
          </cell>
          <cell r="IZ7">
            <v>0.0818</v>
          </cell>
          <cell r="JA7">
            <v>0.0817</v>
          </cell>
          <cell r="JB7">
            <v>0.0815</v>
          </cell>
          <cell r="JC7">
            <v>0.0811</v>
          </cell>
          <cell r="JD7">
            <v>0.0809</v>
          </cell>
          <cell r="JE7">
            <v>0.0809</v>
          </cell>
          <cell r="JF7">
            <v>0.0809</v>
          </cell>
          <cell r="JG7">
            <v>0.0808</v>
          </cell>
          <cell r="JH7">
            <v>0.0805</v>
          </cell>
          <cell r="JI7">
            <v>0.0803</v>
          </cell>
          <cell r="JJ7">
            <v>0.0801</v>
          </cell>
        </row>
        <row r="11">
          <cell r="C11">
            <v>10.77</v>
          </cell>
          <cell r="D11">
            <v>11.87</v>
          </cell>
          <cell r="E11">
            <v>12.01</v>
          </cell>
          <cell r="F11">
            <v>11.97</v>
          </cell>
          <cell r="G11">
            <v>11.86</v>
          </cell>
          <cell r="H11">
            <v>11.61</v>
          </cell>
          <cell r="I11">
            <v>11.62</v>
          </cell>
          <cell r="J11">
            <v>12.18</v>
          </cell>
          <cell r="K11">
            <v>11.98</v>
          </cell>
          <cell r="L11">
            <v>12.01</v>
          </cell>
          <cell r="M11">
            <v>11.93</v>
          </cell>
          <cell r="N11">
            <v>11.81</v>
          </cell>
          <cell r="O11">
            <v>11.44</v>
          </cell>
          <cell r="P11">
            <v>11.2</v>
          </cell>
          <cell r="Q11">
            <v>11.86</v>
          </cell>
          <cell r="R11">
            <v>12</v>
          </cell>
          <cell r="S11">
            <v>11.96</v>
          </cell>
          <cell r="T11">
            <v>12.06</v>
          </cell>
          <cell r="U11">
            <v>12.17</v>
          </cell>
          <cell r="V11">
            <v>12.07</v>
          </cell>
          <cell r="W11">
            <v>12.14</v>
          </cell>
          <cell r="X11">
            <v>13.06</v>
          </cell>
          <cell r="Y11">
            <v>13.15</v>
          </cell>
          <cell r="Z11">
            <v>12.95</v>
          </cell>
          <cell r="AA11">
            <v>12.58</v>
          </cell>
          <cell r="AB11">
            <v>12.28</v>
          </cell>
          <cell r="AC11">
            <v>11.96</v>
          </cell>
          <cell r="AD11">
            <v>11.59</v>
          </cell>
          <cell r="AE11">
            <v>11.7</v>
          </cell>
          <cell r="AF11">
            <v>11.42</v>
          </cell>
          <cell r="AG11">
            <v>11.14</v>
          </cell>
          <cell r="AH11">
            <v>11.26</v>
          </cell>
          <cell r="AI11">
            <v>11.17</v>
          </cell>
          <cell r="AJ11">
            <v>11.04</v>
          </cell>
          <cell r="AK11">
            <v>11.01</v>
          </cell>
          <cell r="AL11">
            <v>10.86</v>
          </cell>
          <cell r="AM11">
            <v>10.62</v>
          </cell>
          <cell r="AN11">
            <v>10.34</v>
          </cell>
          <cell r="AO11">
            <v>10.05</v>
          </cell>
          <cell r="AP11">
            <v>9.45</v>
          </cell>
          <cell r="AQ11">
            <v>8.62</v>
          </cell>
          <cell r="AR11">
            <v>8.37</v>
          </cell>
          <cell r="AS11">
            <v>8.2</v>
          </cell>
          <cell r="AT11">
            <v>8.13</v>
          </cell>
          <cell r="AU11">
            <v>8.21</v>
          </cell>
          <cell r="AV11">
            <v>8.65</v>
          </cell>
          <cell r="AW11">
            <v>8.74</v>
          </cell>
          <cell r="AX11">
            <v>8.89</v>
          </cell>
          <cell r="AY11">
            <v>9.25</v>
          </cell>
          <cell r="AZ11">
            <v>9.83</v>
          </cell>
          <cell r="BA11">
            <v>10.49</v>
          </cell>
          <cell r="BB11">
            <v>11.07</v>
          </cell>
          <cell r="BC11">
            <v>11.53</v>
          </cell>
          <cell r="BD11">
            <v>11.74</v>
          </cell>
          <cell r="BE11">
            <v>11.37</v>
          </cell>
          <cell r="BF11">
            <v>11.51</v>
          </cell>
          <cell r="BG11">
            <v>11.76</v>
          </cell>
          <cell r="BH11">
            <v>11.62</v>
          </cell>
          <cell r="BI11">
            <v>11.86</v>
          </cell>
          <cell r="BJ11">
            <v>11.89</v>
          </cell>
          <cell r="BK11">
            <v>11.85</v>
          </cell>
          <cell r="BL11">
            <v>11.37</v>
          </cell>
          <cell r="BM11">
            <v>11.09</v>
          </cell>
          <cell r="BN11">
            <v>11.62</v>
          </cell>
          <cell r="BO11">
            <v>11.65</v>
          </cell>
          <cell r="BP11">
            <v>11.54</v>
          </cell>
          <cell r="BQ11">
            <v>11.34</v>
          </cell>
          <cell r="BR11">
            <v>11.15</v>
          </cell>
          <cell r="BS11">
            <v>10.95</v>
          </cell>
          <cell r="BT11">
            <v>10.67</v>
          </cell>
          <cell r="BU11">
            <v>10.95</v>
          </cell>
          <cell r="BV11">
            <v>10.76</v>
          </cell>
          <cell r="BW11">
            <v>10.83</v>
          </cell>
          <cell r="BX11">
            <v>10.89</v>
          </cell>
          <cell r="BY11">
            <v>10.72</v>
          </cell>
          <cell r="BZ11">
            <v>10.46</v>
          </cell>
          <cell r="CA11">
            <v>10.28</v>
          </cell>
          <cell r="CB11">
            <v>10.9</v>
          </cell>
          <cell r="CC11">
            <v>10.69</v>
          </cell>
          <cell r="CD11">
            <v>10.56</v>
          </cell>
          <cell r="CE11">
            <v>10.51</v>
          </cell>
          <cell r="CF11">
            <v>10.53</v>
          </cell>
          <cell r="CG11">
            <v>10.44</v>
          </cell>
          <cell r="CH11">
            <v>10.17</v>
          </cell>
          <cell r="CI11">
            <v>10.68</v>
          </cell>
          <cell r="CJ11">
            <v>10.57</v>
          </cell>
          <cell r="CK11">
            <v>10.67</v>
          </cell>
          <cell r="CL11">
            <v>10.59</v>
          </cell>
          <cell r="CM11">
            <v>10.45</v>
          </cell>
          <cell r="CN11">
            <v>10.3</v>
          </cell>
          <cell r="CO11">
            <v>10.04</v>
          </cell>
          <cell r="CP11">
            <v>10.44</v>
          </cell>
          <cell r="CQ11">
            <v>10.54</v>
          </cell>
          <cell r="CR11">
            <v>10.5</v>
          </cell>
          <cell r="CS11">
            <v>9.3</v>
          </cell>
          <cell r="CT11">
            <v>9.76</v>
          </cell>
          <cell r="CU11">
            <v>10.11</v>
          </cell>
          <cell r="CV11">
            <v>10.41</v>
          </cell>
          <cell r="CW11">
            <v>10.46</v>
          </cell>
          <cell r="CX11">
            <v>10.29</v>
          </cell>
          <cell r="CY11">
            <v>10.33</v>
          </cell>
          <cell r="CZ11">
            <v>10.3</v>
          </cell>
          <cell r="DA11">
            <v>10.45</v>
          </cell>
          <cell r="DB11">
            <v>10.31</v>
          </cell>
          <cell r="DC11">
            <v>10.05</v>
          </cell>
          <cell r="DD11">
            <v>10.49</v>
          </cell>
          <cell r="DE11">
            <v>10.47</v>
          </cell>
          <cell r="DF11">
            <v>10.62</v>
          </cell>
          <cell r="DG11">
            <v>10.47</v>
          </cell>
          <cell r="DH11">
            <v>10.53</v>
          </cell>
          <cell r="DI11">
            <v>10.35</v>
          </cell>
          <cell r="DJ11">
            <v>9.97</v>
          </cell>
          <cell r="DK11">
            <v>10.43</v>
          </cell>
          <cell r="DL11">
            <v>10.38</v>
          </cell>
          <cell r="DM11">
            <v>10.37</v>
          </cell>
          <cell r="DN11">
            <v>10.49</v>
          </cell>
          <cell r="DO11">
            <v>10.5</v>
          </cell>
          <cell r="DP11">
            <v>10.54</v>
          </cell>
          <cell r="DQ11">
            <v>10.5</v>
          </cell>
          <cell r="DR11">
            <v>10.6</v>
          </cell>
          <cell r="DS11">
            <v>10.45</v>
          </cell>
          <cell r="DT11">
            <v>8.81</v>
          </cell>
          <cell r="DU11">
            <v>9.14</v>
          </cell>
          <cell r="DV11">
            <v>9.6</v>
          </cell>
          <cell r="DW11">
            <v>9.98</v>
          </cell>
          <cell r="DX11">
            <v>10.05</v>
          </cell>
          <cell r="DY11">
            <v>10.44</v>
          </cell>
          <cell r="DZ11">
            <v>10.5</v>
          </cell>
          <cell r="EA11">
            <v>10.55</v>
          </cell>
          <cell r="EB11">
            <v>10.54</v>
          </cell>
          <cell r="EC11">
            <v>10.52</v>
          </cell>
          <cell r="ED11">
            <v>10.55</v>
          </cell>
          <cell r="EE11">
            <v>10.13</v>
          </cell>
          <cell r="EF11">
            <v>10.49</v>
          </cell>
          <cell r="EG11">
            <v>10.54</v>
          </cell>
          <cell r="EH11">
            <v>10.58</v>
          </cell>
          <cell r="EI11">
            <v>10.62</v>
          </cell>
          <cell r="EJ11">
            <v>10.85</v>
          </cell>
          <cell r="EK11">
            <v>10.83</v>
          </cell>
          <cell r="EL11">
            <v>10.45</v>
          </cell>
          <cell r="EM11">
            <v>10.84</v>
          </cell>
          <cell r="EN11">
            <v>10.84</v>
          </cell>
          <cell r="EO11">
            <v>10.9</v>
          </cell>
          <cell r="EP11">
            <v>11.15</v>
          </cell>
          <cell r="EQ11">
            <v>11.24</v>
          </cell>
          <cell r="ER11">
            <v>11.02</v>
          </cell>
          <cell r="ES11">
            <v>10.65</v>
          </cell>
          <cell r="ET11">
            <v>11.03</v>
          </cell>
          <cell r="EU11">
            <v>10.86</v>
          </cell>
          <cell r="EV11">
            <v>10.79</v>
          </cell>
          <cell r="EW11">
            <v>10.84</v>
          </cell>
          <cell r="EX11">
            <v>10.86</v>
          </cell>
          <cell r="EY11">
            <v>10.53</v>
          </cell>
          <cell r="EZ11">
            <v>10.27</v>
          </cell>
          <cell r="FA11">
            <v>10.97</v>
          </cell>
          <cell r="FB11">
            <v>10.98</v>
          </cell>
          <cell r="FC11">
            <v>10.9</v>
          </cell>
          <cell r="FD11">
            <v>10.92</v>
          </cell>
          <cell r="FE11">
            <v>10.93</v>
          </cell>
          <cell r="FF11">
            <v>10.8</v>
          </cell>
          <cell r="FG11">
            <v>10.5</v>
          </cell>
          <cell r="FH11">
            <v>10.07</v>
          </cell>
          <cell r="FI11">
            <v>11.51</v>
          </cell>
          <cell r="FJ11">
            <v>11.93</v>
          </cell>
          <cell r="FK11">
            <v>12.27</v>
          </cell>
          <cell r="FL11">
            <v>12.37</v>
          </cell>
          <cell r="FM11">
            <v>12.16</v>
          </cell>
          <cell r="FN11">
            <v>11.53</v>
          </cell>
          <cell r="FO11">
            <v>11.99</v>
          </cell>
          <cell r="FP11">
            <v>12.16</v>
          </cell>
          <cell r="FQ11">
            <v>12.13</v>
          </cell>
          <cell r="FR11">
            <v>12.29</v>
          </cell>
          <cell r="FS11">
            <v>12.31</v>
          </cell>
          <cell r="FT11">
            <v>12.14</v>
          </cell>
          <cell r="FU11">
            <v>11.64</v>
          </cell>
          <cell r="FV11">
            <v>12.11</v>
          </cell>
          <cell r="FW11">
            <v>12</v>
          </cell>
          <cell r="FX11">
            <v>12.06</v>
          </cell>
          <cell r="FY11">
            <v>11.99</v>
          </cell>
          <cell r="FZ11">
            <v>12.17</v>
          </cell>
          <cell r="GA11">
            <v>11.95</v>
          </cell>
          <cell r="GB11">
            <v>11.69</v>
          </cell>
          <cell r="GC11">
            <v>12.17</v>
          </cell>
          <cell r="GD11">
            <v>12.01</v>
          </cell>
          <cell r="GE11">
            <v>12.12</v>
          </cell>
          <cell r="GF11">
            <v>12.44</v>
          </cell>
          <cell r="GG11">
            <v>12.86</v>
          </cell>
          <cell r="GH11">
            <v>12.7</v>
          </cell>
          <cell r="GI11">
            <v>12.5</v>
          </cell>
          <cell r="GJ11">
            <v>13.22</v>
          </cell>
          <cell r="GK11">
            <v>13.01</v>
          </cell>
          <cell r="GL11">
            <v>12.94</v>
          </cell>
          <cell r="GM11">
            <v>12.84</v>
          </cell>
          <cell r="GN11">
            <v>12.92</v>
          </cell>
          <cell r="GO11">
            <v>12.4</v>
          </cell>
          <cell r="GP11">
            <v>11.97</v>
          </cell>
          <cell r="GQ11">
            <v>12.9</v>
          </cell>
          <cell r="GR11">
            <v>13.07</v>
          </cell>
          <cell r="GS11">
            <v>13.18</v>
          </cell>
          <cell r="GT11">
            <v>13.4</v>
          </cell>
          <cell r="GU11">
            <v>13.68</v>
          </cell>
          <cell r="GV11">
            <v>13.13</v>
          </cell>
          <cell r="GW11">
            <v>13.39</v>
          </cell>
          <cell r="GX11">
            <v>14.19</v>
          </cell>
          <cell r="GY11">
            <v>14.37</v>
          </cell>
          <cell r="GZ11">
            <v>14.51</v>
          </cell>
          <cell r="HA11">
            <v>13.79</v>
          </cell>
          <cell r="HB11">
            <v>13.58</v>
          </cell>
          <cell r="HC11">
            <v>13.05</v>
          </cell>
          <cell r="HD11">
            <v>12.44</v>
          </cell>
          <cell r="HE11">
            <v>13.38</v>
          </cell>
          <cell r="HF11">
            <v>13.41</v>
          </cell>
          <cell r="HG11">
            <v>13.52</v>
          </cell>
          <cell r="HH11">
            <v>13.74</v>
          </cell>
          <cell r="HI11">
            <v>14.1</v>
          </cell>
          <cell r="HJ11">
            <v>14</v>
          </cell>
          <cell r="HK11">
            <v>13.47</v>
          </cell>
          <cell r="HL11">
            <v>14.11</v>
          </cell>
          <cell r="HM11">
            <v>14.18</v>
          </cell>
          <cell r="HN11">
            <v>14.15</v>
          </cell>
          <cell r="HO11">
            <v>14.16</v>
          </cell>
          <cell r="HP11">
            <v>14.13</v>
          </cell>
          <cell r="HQ11">
            <v>13.73</v>
          </cell>
          <cell r="HR11">
            <v>13.21</v>
          </cell>
          <cell r="HS11">
            <v>13.91</v>
          </cell>
          <cell r="HT11">
            <v>13.77</v>
          </cell>
          <cell r="HU11">
            <v>13.57</v>
          </cell>
          <cell r="HV11">
            <v>13.53</v>
          </cell>
          <cell r="HW11">
            <v>13.51</v>
          </cell>
          <cell r="HX11">
            <v>13.12</v>
          </cell>
          <cell r="HY11">
            <v>12.48</v>
          </cell>
          <cell r="HZ11">
            <v>13.2</v>
          </cell>
          <cell r="IA11">
            <v>13.1</v>
          </cell>
          <cell r="IB11">
            <v>13.2</v>
          </cell>
          <cell r="IC11">
            <v>13.57</v>
          </cell>
          <cell r="ID11">
            <v>14.02</v>
          </cell>
          <cell r="IE11">
            <v>13.83</v>
          </cell>
          <cell r="IF11">
            <v>13.31</v>
          </cell>
          <cell r="IG11">
            <v>13.67</v>
          </cell>
          <cell r="IH11">
            <v>13.09</v>
          </cell>
          <cell r="II11">
            <v>12.91</v>
          </cell>
          <cell r="IJ11">
            <v>13.06</v>
          </cell>
          <cell r="IK11">
            <v>13.39</v>
          </cell>
          <cell r="IL11">
            <v>13.3</v>
          </cell>
          <cell r="IM11">
            <v>13.14</v>
          </cell>
          <cell r="IN11">
            <v>13.39</v>
          </cell>
          <cell r="IO11">
            <v>12.93</v>
          </cell>
          <cell r="IP11">
            <v>13.28</v>
          </cell>
          <cell r="IQ11">
            <v>13.25</v>
          </cell>
          <cell r="IR11">
            <v>12.91</v>
          </cell>
          <cell r="IS11">
            <v>12.62</v>
          </cell>
          <cell r="IT11">
            <v>12.41</v>
          </cell>
          <cell r="IU11">
            <v>13.22</v>
          </cell>
          <cell r="IV11">
            <v>12.93</v>
          </cell>
          <cell r="IW11">
            <v>12.52</v>
          </cell>
          <cell r="IX11">
            <v>12.47</v>
          </cell>
          <cell r="IY11">
            <v>12.54</v>
          </cell>
          <cell r="IZ11">
            <v>12.46</v>
          </cell>
          <cell r="JA11">
            <v>11.68</v>
          </cell>
          <cell r="JB11">
            <v>11.03</v>
          </cell>
          <cell r="JC11">
            <v>10.62</v>
          </cell>
          <cell r="JD11">
            <v>12.26</v>
          </cell>
          <cell r="JE11">
            <v>12.56</v>
          </cell>
          <cell r="JF11">
            <v>12.65</v>
          </cell>
          <cell r="JG11">
            <v>11.58</v>
          </cell>
          <cell r="JH11">
            <v>10.78</v>
          </cell>
          <cell r="JI11">
            <v>10.96</v>
          </cell>
          <cell r="JJ11">
            <v>10.97</v>
          </cell>
        </row>
        <row r="14">
          <cell r="C14">
            <v>8.54</v>
          </cell>
          <cell r="D14">
            <v>8.4</v>
          </cell>
          <cell r="E14">
            <v>9.09</v>
          </cell>
          <cell r="F14">
            <v>9.2</v>
          </cell>
          <cell r="G14">
            <v>9.17</v>
          </cell>
          <cell r="H14">
            <v>9.15</v>
          </cell>
          <cell r="I14">
            <v>9.11</v>
          </cell>
          <cell r="J14">
            <v>9.03</v>
          </cell>
          <cell r="K14">
            <v>9.2</v>
          </cell>
          <cell r="L14">
            <v>9.2</v>
          </cell>
          <cell r="M14">
            <v>9.2</v>
          </cell>
          <cell r="N14">
            <v>9.13</v>
          </cell>
          <cell r="O14">
            <v>9.06</v>
          </cell>
          <cell r="P14">
            <v>8.86</v>
          </cell>
          <cell r="Q14">
            <v>8.86</v>
          </cell>
          <cell r="R14">
            <v>9.13</v>
          </cell>
          <cell r="S14">
            <v>9.11</v>
          </cell>
          <cell r="T14">
            <v>9.08</v>
          </cell>
          <cell r="U14">
            <v>9.14</v>
          </cell>
          <cell r="V14">
            <v>9.18</v>
          </cell>
          <cell r="W14">
            <v>9.18</v>
          </cell>
          <cell r="X14">
            <v>9.29</v>
          </cell>
          <cell r="Y14">
            <v>9.67</v>
          </cell>
          <cell r="Z14">
            <v>9.68</v>
          </cell>
          <cell r="AA14">
            <v>9.53</v>
          </cell>
          <cell r="AB14">
            <v>9.33</v>
          </cell>
          <cell r="AC14">
            <v>9.15</v>
          </cell>
          <cell r="AD14">
            <v>9.01</v>
          </cell>
          <cell r="AE14">
            <v>8.74</v>
          </cell>
          <cell r="AF14">
            <v>8.64</v>
          </cell>
          <cell r="AG14">
            <v>8.41</v>
          </cell>
          <cell r="AH14">
            <v>8.27</v>
          </cell>
          <cell r="AI14">
            <v>8.3</v>
          </cell>
          <cell r="AJ14">
            <v>8.18</v>
          </cell>
          <cell r="AK14">
            <v>8.04</v>
          </cell>
          <cell r="AL14">
            <v>7.96</v>
          </cell>
          <cell r="AM14">
            <v>7.81</v>
          </cell>
          <cell r="AN14">
            <v>7.6</v>
          </cell>
          <cell r="AO14">
            <v>7.35</v>
          </cell>
          <cell r="AP14">
            <v>7.02</v>
          </cell>
          <cell r="AQ14">
            <v>6.78</v>
          </cell>
          <cell r="AR14">
            <v>6.48</v>
          </cell>
          <cell r="AS14">
            <v>6.36</v>
          </cell>
          <cell r="AT14">
            <v>6.25</v>
          </cell>
          <cell r="AU14">
            <v>6.24</v>
          </cell>
          <cell r="AV14">
            <v>6.36</v>
          </cell>
          <cell r="AW14">
            <v>6.62</v>
          </cell>
          <cell r="AX14">
            <v>6.7</v>
          </cell>
          <cell r="AY14">
            <v>6.84</v>
          </cell>
          <cell r="AZ14">
            <v>7.1</v>
          </cell>
          <cell r="BA14">
            <v>7.56</v>
          </cell>
          <cell r="BB14">
            <v>7.96</v>
          </cell>
          <cell r="BC14">
            <v>8.27</v>
          </cell>
          <cell r="BD14">
            <v>8.49</v>
          </cell>
          <cell r="BE14">
            <v>8.53</v>
          </cell>
          <cell r="BF14">
            <v>8.43</v>
          </cell>
          <cell r="BG14">
            <v>8.49</v>
          </cell>
          <cell r="BH14">
            <v>8.69</v>
          </cell>
          <cell r="BI14">
            <v>8.67</v>
          </cell>
          <cell r="BJ14">
            <v>8.73</v>
          </cell>
          <cell r="BK14">
            <v>8.84</v>
          </cell>
          <cell r="BL14">
            <v>8.89</v>
          </cell>
          <cell r="BM14">
            <v>8.74</v>
          </cell>
          <cell r="BN14">
            <v>8.52</v>
          </cell>
          <cell r="BO14">
            <v>8.74</v>
          </cell>
          <cell r="BP14">
            <v>8.79</v>
          </cell>
          <cell r="BQ14">
            <v>8.84</v>
          </cell>
          <cell r="BR14">
            <v>8.79</v>
          </cell>
          <cell r="BS14">
            <v>8.72</v>
          </cell>
          <cell r="BT14">
            <v>8.58</v>
          </cell>
          <cell r="BU14">
            <v>8.37</v>
          </cell>
          <cell r="BV14">
            <v>8.53</v>
          </cell>
          <cell r="BW14">
            <v>8.54</v>
          </cell>
          <cell r="BX14">
            <v>8.5</v>
          </cell>
          <cell r="BY14">
            <v>8.46</v>
          </cell>
          <cell r="BZ14">
            <v>8.37</v>
          </cell>
          <cell r="CA14">
            <v>8.27</v>
          </cell>
          <cell r="CB14">
            <v>8.24</v>
          </cell>
          <cell r="CC14">
            <v>8.48</v>
          </cell>
          <cell r="CD14">
            <v>8.46</v>
          </cell>
          <cell r="CE14">
            <v>8.42</v>
          </cell>
          <cell r="CF14">
            <v>8.35</v>
          </cell>
          <cell r="CG14">
            <v>8.35</v>
          </cell>
          <cell r="CH14">
            <v>8.29</v>
          </cell>
          <cell r="CI14">
            <v>8.22</v>
          </cell>
          <cell r="CJ14">
            <v>8.44</v>
          </cell>
          <cell r="CK14">
            <v>8.41</v>
          </cell>
          <cell r="CL14">
            <v>8.4</v>
          </cell>
          <cell r="CM14">
            <v>8.39</v>
          </cell>
          <cell r="CN14">
            <v>8.36</v>
          </cell>
          <cell r="CO14">
            <v>8.23</v>
          </cell>
          <cell r="CP14">
            <v>8.11</v>
          </cell>
          <cell r="CQ14">
            <v>8.33</v>
          </cell>
          <cell r="CR14">
            <v>8.36</v>
          </cell>
          <cell r="CS14">
            <v>8.07</v>
          </cell>
          <cell r="CT14">
            <v>7.64</v>
          </cell>
          <cell r="CU14">
            <v>7.97</v>
          </cell>
          <cell r="CV14">
            <v>8.12</v>
          </cell>
          <cell r="CW14">
            <v>8.19</v>
          </cell>
          <cell r="CX14">
            <v>8.24</v>
          </cell>
          <cell r="CY14">
            <v>8.24</v>
          </cell>
          <cell r="CZ14">
            <v>8.24</v>
          </cell>
          <cell r="DA14">
            <v>8.28</v>
          </cell>
          <cell r="DB14">
            <v>8.31</v>
          </cell>
          <cell r="DC14">
            <v>8.29</v>
          </cell>
          <cell r="DD14">
            <v>8.18</v>
          </cell>
          <cell r="DE14">
            <v>8.4</v>
          </cell>
          <cell r="DF14">
            <v>8.42</v>
          </cell>
          <cell r="DG14">
            <v>8.43</v>
          </cell>
          <cell r="DH14">
            <v>8.35</v>
          </cell>
          <cell r="DI14">
            <v>8.37</v>
          </cell>
          <cell r="DJ14">
            <v>8.2</v>
          </cell>
          <cell r="DK14">
            <v>8.07</v>
          </cell>
          <cell r="DL14">
            <v>8.28</v>
          </cell>
          <cell r="DM14">
            <v>8.29</v>
          </cell>
          <cell r="DN14">
            <v>8.3</v>
          </cell>
          <cell r="DO14">
            <v>8.36</v>
          </cell>
          <cell r="DP14">
            <v>8.44</v>
          </cell>
          <cell r="DQ14">
            <v>8.39</v>
          </cell>
          <cell r="DR14">
            <v>8.37</v>
          </cell>
          <cell r="DS14">
            <v>8.38</v>
          </cell>
          <cell r="DT14">
            <v>7.78</v>
          </cell>
          <cell r="DU14">
            <v>7.25</v>
          </cell>
          <cell r="DV14">
            <v>7.54</v>
          </cell>
          <cell r="DW14">
            <v>7.85</v>
          </cell>
          <cell r="DX14">
            <v>8.03</v>
          </cell>
          <cell r="DY14">
            <v>8.12</v>
          </cell>
          <cell r="DZ14">
            <v>8.3</v>
          </cell>
          <cell r="EA14">
            <v>8.37</v>
          </cell>
          <cell r="EB14">
            <v>8.35</v>
          </cell>
          <cell r="EC14">
            <v>8.35</v>
          </cell>
          <cell r="ED14">
            <v>8.41</v>
          </cell>
          <cell r="EE14">
            <v>8.4</v>
          </cell>
          <cell r="EF14">
            <v>8.2</v>
          </cell>
          <cell r="EG14">
            <v>8.4</v>
          </cell>
          <cell r="EH14">
            <v>8.42</v>
          </cell>
          <cell r="EI14">
            <v>8.44</v>
          </cell>
          <cell r="EJ14">
            <v>8.5</v>
          </cell>
          <cell r="EK14">
            <v>8.64</v>
          </cell>
          <cell r="EL14">
            <v>8.56</v>
          </cell>
          <cell r="EM14">
            <v>8.36</v>
          </cell>
          <cell r="EN14">
            <v>8.55</v>
          </cell>
          <cell r="EO14">
            <v>8.58</v>
          </cell>
          <cell r="EP14">
            <v>8.68</v>
          </cell>
          <cell r="EQ14">
            <v>8.77</v>
          </cell>
          <cell r="ER14">
            <v>8.89</v>
          </cell>
          <cell r="ES14">
            <v>8.71</v>
          </cell>
          <cell r="ET14">
            <v>8.6</v>
          </cell>
          <cell r="EU14">
            <v>8.65</v>
          </cell>
          <cell r="EV14">
            <v>8.6</v>
          </cell>
          <cell r="EW14">
            <v>8.57</v>
          </cell>
          <cell r="EX14">
            <v>8.58</v>
          </cell>
          <cell r="EY14">
            <v>8.55</v>
          </cell>
          <cell r="EZ14">
            <v>8.47</v>
          </cell>
          <cell r="FA14">
            <v>8.47</v>
          </cell>
          <cell r="FB14">
            <v>8.69</v>
          </cell>
          <cell r="FC14">
            <v>8.66</v>
          </cell>
          <cell r="FD14">
            <v>8.63</v>
          </cell>
          <cell r="FE14">
            <v>8.66</v>
          </cell>
          <cell r="FF14">
            <v>8.72</v>
          </cell>
          <cell r="FG14">
            <v>8.64</v>
          </cell>
          <cell r="FH14">
            <v>8.36</v>
          </cell>
          <cell r="FI14">
            <v>8.24</v>
          </cell>
          <cell r="FJ14">
            <v>9.09</v>
          </cell>
          <cell r="FK14">
            <v>9.46</v>
          </cell>
          <cell r="FL14">
            <v>9.64</v>
          </cell>
          <cell r="FM14">
            <v>9.69</v>
          </cell>
          <cell r="FN14">
            <v>9.59</v>
          </cell>
          <cell r="FO14">
            <v>9.21</v>
          </cell>
          <cell r="FP14">
            <v>9.5</v>
          </cell>
          <cell r="FQ14">
            <v>9.53</v>
          </cell>
          <cell r="FR14">
            <v>9.59</v>
          </cell>
          <cell r="FS14">
            <v>9.76</v>
          </cell>
          <cell r="FT14">
            <v>9.72</v>
          </cell>
          <cell r="FU14">
            <v>9.66</v>
          </cell>
          <cell r="FV14">
            <v>9.39</v>
          </cell>
          <cell r="FW14">
            <v>9.5</v>
          </cell>
          <cell r="FX14">
            <v>9.49</v>
          </cell>
          <cell r="FY14">
            <v>9.45</v>
          </cell>
          <cell r="FZ14">
            <v>9.49</v>
          </cell>
          <cell r="GA14">
            <v>9.57</v>
          </cell>
          <cell r="GB14">
            <v>9.52</v>
          </cell>
          <cell r="GC14">
            <v>9.36</v>
          </cell>
          <cell r="GD14">
            <v>9.45</v>
          </cell>
          <cell r="GE14">
            <v>9.39</v>
          </cell>
          <cell r="GF14">
            <v>9.66</v>
          </cell>
          <cell r="GG14">
            <v>9.88</v>
          </cell>
          <cell r="GH14">
            <v>10.04</v>
          </cell>
          <cell r="GI14">
            <v>10.19</v>
          </cell>
          <cell r="GJ14">
            <v>10.12</v>
          </cell>
          <cell r="GK14">
            <v>10.26</v>
          </cell>
          <cell r="GL14">
            <v>10.24</v>
          </cell>
          <cell r="GM14">
            <v>10.14</v>
          </cell>
          <cell r="GN14">
            <v>10.09</v>
          </cell>
          <cell r="GO14">
            <v>10.12</v>
          </cell>
          <cell r="GP14">
            <v>9.93</v>
          </cell>
          <cell r="GQ14">
            <v>9.8</v>
          </cell>
          <cell r="GR14">
            <v>10.13</v>
          </cell>
          <cell r="GS14">
            <v>10.21</v>
          </cell>
          <cell r="GT14">
            <v>10.25</v>
          </cell>
          <cell r="GU14">
            <v>10.36</v>
          </cell>
          <cell r="GV14">
            <v>10.42</v>
          </cell>
          <cell r="GW14">
            <v>10.45</v>
          </cell>
          <cell r="GX14">
            <v>10.54</v>
          </cell>
          <cell r="GY14">
            <v>10.87</v>
          </cell>
          <cell r="GZ14">
            <v>11.1</v>
          </cell>
          <cell r="HA14">
            <v>10.86</v>
          </cell>
          <cell r="HB14">
            <v>10.7</v>
          </cell>
          <cell r="HC14">
            <v>10.49</v>
          </cell>
          <cell r="HD14">
            <v>10.06</v>
          </cell>
          <cell r="HE14">
            <v>9.84</v>
          </cell>
          <cell r="HF14">
            <v>10.08</v>
          </cell>
          <cell r="HG14">
            <v>10.17</v>
          </cell>
          <cell r="HH14">
            <v>10.31</v>
          </cell>
          <cell r="HI14">
            <v>10.49</v>
          </cell>
          <cell r="HJ14">
            <v>10.77</v>
          </cell>
          <cell r="HK14">
            <v>10.7</v>
          </cell>
          <cell r="HL14">
            <v>10.48</v>
          </cell>
          <cell r="HM14">
            <v>10.67</v>
          </cell>
          <cell r="HN14">
            <v>10.68</v>
          </cell>
          <cell r="HO14">
            <v>10.73</v>
          </cell>
          <cell r="HP14">
            <v>10.85</v>
          </cell>
          <cell r="HQ14">
            <v>10.77</v>
          </cell>
          <cell r="HR14">
            <v>10.58</v>
          </cell>
          <cell r="HS14">
            <v>10.3</v>
          </cell>
          <cell r="HT14">
            <v>10.44</v>
          </cell>
          <cell r="HU14">
            <v>10.34</v>
          </cell>
          <cell r="HV14">
            <v>10.27</v>
          </cell>
          <cell r="HW14">
            <v>10.16</v>
          </cell>
          <cell r="HX14">
            <v>10.16</v>
          </cell>
          <cell r="HY14">
            <v>9.96</v>
          </cell>
          <cell r="HZ14">
            <v>9.74</v>
          </cell>
          <cell r="IA14">
            <v>9.95</v>
          </cell>
          <cell r="IB14">
            <v>9.99</v>
          </cell>
          <cell r="IC14">
            <v>10.07</v>
          </cell>
          <cell r="ID14">
            <v>10.4</v>
          </cell>
          <cell r="IE14">
            <v>10.52</v>
          </cell>
          <cell r="IF14">
            <v>10.58</v>
          </cell>
          <cell r="IG14">
            <v>10.27</v>
          </cell>
          <cell r="IH14">
            <v>10.34</v>
          </cell>
          <cell r="II14">
            <v>10.12</v>
          </cell>
          <cell r="IJ14">
            <v>10.08</v>
          </cell>
          <cell r="IK14">
            <v>10.04</v>
          </cell>
          <cell r="IL14">
            <v>10.26</v>
          </cell>
          <cell r="IM14">
            <v>10.11</v>
          </cell>
          <cell r="IN14">
            <v>10.19</v>
          </cell>
          <cell r="IO14">
            <v>10.1</v>
          </cell>
          <cell r="IP14">
            <v>10.11</v>
          </cell>
          <cell r="IQ14">
            <v>10.32</v>
          </cell>
          <cell r="IR14">
            <v>10.15</v>
          </cell>
          <cell r="IS14">
            <v>9.87</v>
          </cell>
          <cell r="IT14">
            <v>9.83</v>
          </cell>
          <cell r="IU14">
            <v>9.8</v>
          </cell>
          <cell r="IV14">
            <v>10.04</v>
          </cell>
          <cell r="IW14">
            <v>9.84</v>
          </cell>
          <cell r="IX14">
            <v>9.71</v>
          </cell>
          <cell r="IY14">
            <v>9.73</v>
          </cell>
          <cell r="IZ14">
            <v>9.8</v>
          </cell>
          <cell r="JA14">
            <v>9.59</v>
          </cell>
          <cell r="JB14">
            <v>9.22</v>
          </cell>
          <cell r="JC14">
            <v>8.75</v>
          </cell>
          <cell r="JD14">
            <v>8.64</v>
          </cell>
          <cell r="JE14">
            <v>9.68</v>
          </cell>
          <cell r="JF14">
            <v>9.79</v>
          </cell>
          <cell r="JG14">
            <v>9.61</v>
          </cell>
          <cell r="JH14">
            <v>9.09</v>
          </cell>
          <cell r="JI14">
            <v>8.67</v>
          </cell>
          <cell r="JJ14">
            <v>8.74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-数据"/>
      <sheetName val="02-2024年负荷创新高次数统计"/>
      <sheetName val="03-各类趋势线"/>
      <sheetName val="04-数据分析"/>
    </sheetNames>
    <sheetDataSet>
      <sheetData sheetId="0">
        <row r="1">
          <cell r="C1">
            <v>45292</v>
          </cell>
          <cell r="D1">
            <v>45293</v>
          </cell>
          <cell r="E1">
            <v>45294</v>
          </cell>
          <cell r="F1">
            <v>45295</v>
          </cell>
          <cell r="G1">
            <v>45296</v>
          </cell>
          <cell r="H1">
            <v>45297</v>
          </cell>
          <cell r="I1">
            <v>45298</v>
          </cell>
          <cell r="J1">
            <v>45299</v>
          </cell>
          <cell r="K1">
            <v>45300</v>
          </cell>
          <cell r="L1">
            <v>45301</v>
          </cell>
          <cell r="M1">
            <v>45302</v>
          </cell>
          <cell r="N1">
            <v>45303</v>
          </cell>
          <cell r="O1">
            <v>45304</v>
          </cell>
          <cell r="P1">
            <v>45305</v>
          </cell>
          <cell r="Q1">
            <v>45306</v>
          </cell>
          <cell r="R1">
            <v>45307</v>
          </cell>
          <cell r="S1">
            <v>45308</v>
          </cell>
          <cell r="T1">
            <v>45309</v>
          </cell>
          <cell r="U1">
            <v>45310</v>
          </cell>
          <cell r="V1">
            <v>45311</v>
          </cell>
          <cell r="W1">
            <v>45312</v>
          </cell>
          <cell r="X1">
            <v>45313</v>
          </cell>
          <cell r="Y1">
            <v>45314</v>
          </cell>
          <cell r="Z1">
            <v>45315</v>
          </cell>
          <cell r="AA1">
            <v>45316</v>
          </cell>
          <cell r="AB1">
            <v>45317</v>
          </cell>
          <cell r="AC1">
            <v>45318</v>
          </cell>
          <cell r="AD1">
            <v>45319</v>
          </cell>
          <cell r="AE1">
            <v>45320</v>
          </cell>
          <cell r="AF1">
            <v>45321</v>
          </cell>
          <cell r="AG1">
            <v>45322</v>
          </cell>
          <cell r="AH1">
            <v>45323</v>
          </cell>
          <cell r="AI1">
            <v>45324</v>
          </cell>
          <cell r="AJ1">
            <v>45325</v>
          </cell>
          <cell r="AK1">
            <v>45326</v>
          </cell>
          <cell r="AL1">
            <v>45327</v>
          </cell>
          <cell r="AM1">
            <v>45328</v>
          </cell>
          <cell r="AN1">
            <v>45329</v>
          </cell>
          <cell r="AO1">
            <v>45330</v>
          </cell>
          <cell r="AP1">
            <v>45331</v>
          </cell>
          <cell r="AQ1">
            <v>45332</v>
          </cell>
          <cell r="AR1">
            <v>45333</v>
          </cell>
          <cell r="AS1">
            <v>45334</v>
          </cell>
          <cell r="AT1">
            <v>45335</v>
          </cell>
          <cell r="AU1">
            <v>45336</v>
          </cell>
          <cell r="AV1">
            <v>45337</v>
          </cell>
          <cell r="AW1">
            <v>45338</v>
          </cell>
          <cell r="AX1">
            <v>45339</v>
          </cell>
          <cell r="AY1">
            <v>45340</v>
          </cell>
          <cell r="AZ1">
            <v>45341</v>
          </cell>
          <cell r="BA1">
            <v>45342</v>
          </cell>
          <cell r="BB1">
            <v>45343</v>
          </cell>
          <cell r="BC1">
            <v>45344</v>
          </cell>
          <cell r="BD1">
            <v>45345</v>
          </cell>
          <cell r="BE1">
            <v>45346</v>
          </cell>
          <cell r="BF1">
            <v>45347</v>
          </cell>
          <cell r="BG1">
            <v>45348</v>
          </cell>
          <cell r="BH1">
            <v>45349</v>
          </cell>
          <cell r="BI1">
            <v>45350</v>
          </cell>
          <cell r="BJ1">
            <v>45351</v>
          </cell>
          <cell r="BK1">
            <v>45352</v>
          </cell>
          <cell r="BL1">
            <v>45353</v>
          </cell>
          <cell r="BM1">
            <v>45354</v>
          </cell>
          <cell r="BN1">
            <v>45355</v>
          </cell>
          <cell r="BO1">
            <v>45356</v>
          </cell>
          <cell r="BP1">
            <v>45357</v>
          </cell>
          <cell r="BQ1">
            <v>45358</v>
          </cell>
          <cell r="BR1">
            <v>45359</v>
          </cell>
          <cell r="BS1">
            <v>45360</v>
          </cell>
          <cell r="BT1">
            <v>45361</v>
          </cell>
          <cell r="BU1">
            <v>45362</v>
          </cell>
          <cell r="BV1">
            <v>45363</v>
          </cell>
          <cell r="BW1">
            <v>45364</v>
          </cell>
          <cell r="BX1">
            <v>45365</v>
          </cell>
          <cell r="BY1">
            <v>45366</v>
          </cell>
          <cell r="BZ1">
            <v>45367</v>
          </cell>
          <cell r="CA1">
            <v>45368</v>
          </cell>
          <cell r="CB1">
            <v>45369</v>
          </cell>
          <cell r="CC1">
            <v>45370</v>
          </cell>
          <cell r="CD1">
            <v>45371</v>
          </cell>
          <cell r="CE1">
            <v>45372</v>
          </cell>
          <cell r="CF1">
            <v>45373</v>
          </cell>
          <cell r="CG1">
            <v>45374</v>
          </cell>
          <cell r="CH1">
            <v>45375</v>
          </cell>
          <cell r="CI1">
            <v>45376</v>
          </cell>
          <cell r="CJ1">
            <v>45377</v>
          </cell>
          <cell r="CK1">
            <v>45378</v>
          </cell>
          <cell r="CL1">
            <v>45379</v>
          </cell>
          <cell r="CM1">
            <v>45380</v>
          </cell>
          <cell r="CN1">
            <v>45381</v>
          </cell>
          <cell r="CO1">
            <v>45382</v>
          </cell>
          <cell r="CP1">
            <v>45383</v>
          </cell>
          <cell r="CQ1">
            <v>45384</v>
          </cell>
          <cell r="CR1">
            <v>45385</v>
          </cell>
          <cell r="CS1">
            <v>45386</v>
          </cell>
          <cell r="CT1">
            <v>45387</v>
          </cell>
          <cell r="CU1">
            <v>45388</v>
          </cell>
          <cell r="CV1">
            <v>45389</v>
          </cell>
          <cell r="CW1">
            <v>45390</v>
          </cell>
          <cell r="CX1">
            <v>45391</v>
          </cell>
          <cell r="CY1">
            <v>45392</v>
          </cell>
          <cell r="CZ1">
            <v>45393</v>
          </cell>
          <cell r="DA1">
            <v>45394</v>
          </cell>
          <cell r="DB1">
            <v>45395</v>
          </cell>
          <cell r="DC1">
            <v>45396</v>
          </cell>
          <cell r="DD1">
            <v>45397</v>
          </cell>
          <cell r="DE1">
            <v>45398</v>
          </cell>
          <cell r="DF1">
            <v>45399</v>
          </cell>
          <cell r="DG1">
            <v>45400</v>
          </cell>
          <cell r="DH1">
            <v>45401</v>
          </cell>
          <cell r="DI1">
            <v>45402</v>
          </cell>
          <cell r="DJ1">
            <v>45403</v>
          </cell>
          <cell r="DK1">
            <v>45404</v>
          </cell>
          <cell r="DL1">
            <v>45405</v>
          </cell>
          <cell r="DM1">
            <v>45406</v>
          </cell>
          <cell r="DN1">
            <v>45407</v>
          </cell>
          <cell r="DO1">
            <v>45408</v>
          </cell>
          <cell r="DP1">
            <v>45409</v>
          </cell>
          <cell r="DQ1">
            <v>45410</v>
          </cell>
          <cell r="DR1">
            <v>45411</v>
          </cell>
          <cell r="DS1">
            <v>45412</v>
          </cell>
          <cell r="DT1">
            <v>45413</v>
          </cell>
          <cell r="DU1">
            <v>45414</v>
          </cell>
          <cell r="DV1">
            <v>45415</v>
          </cell>
          <cell r="DW1">
            <v>45416</v>
          </cell>
          <cell r="DX1">
            <v>45417</v>
          </cell>
          <cell r="DY1">
            <v>45418</v>
          </cell>
          <cell r="DZ1">
            <v>45419</v>
          </cell>
          <cell r="EA1">
            <v>45420</v>
          </cell>
          <cell r="EB1">
            <v>45421</v>
          </cell>
          <cell r="EC1">
            <v>45422</v>
          </cell>
          <cell r="ED1">
            <v>45423</v>
          </cell>
          <cell r="EE1">
            <v>45424</v>
          </cell>
          <cell r="EF1">
            <v>45425</v>
          </cell>
          <cell r="EG1">
            <v>45426</v>
          </cell>
          <cell r="EH1">
            <v>45427</v>
          </cell>
          <cell r="EI1">
            <v>45428</v>
          </cell>
          <cell r="EJ1">
            <v>45429</v>
          </cell>
          <cell r="EK1">
            <v>45430</v>
          </cell>
          <cell r="EL1">
            <v>45431</v>
          </cell>
          <cell r="EM1">
            <v>45432</v>
          </cell>
          <cell r="EN1">
            <v>45433</v>
          </cell>
          <cell r="EO1">
            <v>45434</v>
          </cell>
          <cell r="EP1">
            <v>45435</v>
          </cell>
          <cell r="EQ1">
            <v>45436</v>
          </cell>
          <cell r="ER1">
            <v>45437</v>
          </cell>
          <cell r="ES1">
            <v>45438</v>
          </cell>
          <cell r="ET1">
            <v>45439</v>
          </cell>
          <cell r="EU1">
            <v>45440</v>
          </cell>
          <cell r="EV1">
            <v>45441</v>
          </cell>
          <cell r="EW1">
            <v>45442</v>
          </cell>
          <cell r="EX1">
            <v>45443</v>
          </cell>
          <cell r="EY1">
            <v>45444</v>
          </cell>
          <cell r="EZ1">
            <v>45445</v>
          </cell>
          <cell r="FA1">
            <v>45446</v>
          </cell>
          <cell r="FB1">
            <v>45447</v>
          </cell>
          <cell r="FC1">
            <v>45448</v>
          </cell>
          <cell r="FD1">
            <v>45449</v>
          </cell>
          <cell r="FE1">
            <v>45450</v>
          </cell>
          <cell r="FF1">
            <v>45451</v>
          </cell>
          <cell r="FG1">
            <v>45452</v>
          </cell>
          <cell r="FH1">
            <v>45453</v>
          </cell>
          <cell r="FI1">
            <v>45454</v>
          </cell>
          <cell r="FJ1">
            <v>45455</v>
          </cell>
          <cell r="FK1">
            <v>45456</v>
          </cell>
          <cell r="FL1">
            <v>45457</v>
          </cell>
          <cell r="FM1">
            <v>45458</v>
          </cell>
          <cell r="FN1">
            <v>45459</v>
          </cell>
          <cell r="FO1">
            <v>45460</v>
          </cell>
          <cell r="FP1">
            <v>45461</v>
          </cell>
          <cell r="FQ1">
            <v>45462</v>
          </cell>
          <cell r="FR1">
            <v>45463</v>
          </cell>
          <cell r="FS1">
            <v>45464</v>
          </cell>
          <cell r="FT1">
            <v>45465</v>
          </cell>
          <cell r="FU1">
            <v>45466</v>
          </cell>
          <cell r="FV1">
            <v>45467</v>
          </cell>
          <cell r="FW1">
            <v>45468</v>
          </cell>
          <cell r="FX1">
            <v>45469</v>
          </cell>
          <cell r="FY1">
            <v>45470</v>
          </cell>
          <cell r="FZ1">
            <v>45471</v>
          </cell>
          <cell r="GA1">
            <v>45472</v>
          </cell>
          <cell r="GB1">
            <v>45473</v>
          </cell>
          <cell r="GC1">
            <v>45474</v>
          </cell>
          <cell r="GD1">
            <v>45475</v>
          </cell>
          <cell r="GE1">
            <v>45476</v>
          </cell>
          <cell r="GF1">
            <v>45477</v>
          </cell>
          <cell r="GG1">
            <v>45478</v>
          </cell>
          <cell r="GH1">
            <v>45479</v>
          </cell>
          <cell r="GI1">
            <v>45480</v>
          </cell>
          <cell r="GJ1">
            <v>45481</v>
          </cell>
          <cell r="GK1">
            <v>45482</v>
          </cell>
          <cell r="GL1">
            <v>45483</v>
          </cell>
          <cell r="GM1">
            <v>45484</v>
          </cell>
          <cell r="GN1">
            <v>45485</v>
          </cell>
          <cell r="GO1">
            <v>45486</v>
          </cell>
          <cell r="GP1">
            <v>45487</v>
          </cell>
          <cell r="GQ1">
            <v>45488</v>
          </cell>
          <cell r="GR1">
            <v>45489</v>
          </cell>
          <cell r="GS1">
            <v>45490</v>
          </cell>
          <cell r="GT1">
            <v>45491</v>
          </cell>
          <cell r="GU1">
            <v>45492</v>
          </cell>
          <cell r="GV1">
            <v>45493</v>
          </cell>
          <cell r="GW1">
            <v>45494</v>
          </cell>
          <cell r="GX1">
            <v>45495</v>
          </cell>
          <cell r="GY1">
            <v>45496</v>
          </cell>
          <cell r="GZ1">
            <v>45497</v>
          </cell>
          <cell r="HA1">
            <v>45498</v>
          </cell>
          <cell r="HB1">
            <v>45499</v>
          </cell>
          <cell r="HC1">
            <v>45500</v>
          </cell>
          <cell r="HD1">
            <v>45501</v>
          </cell>
          <cell r="HE1">
            <v>45502</v>
          </cell>
          <cell r="HF1">
            <v>45503</v>
          </cell>
          <cell r="HG1">
            <v>45504</v>
          </cell>
          <cell r="HH1">
            <v>45505</v>
          </cell>
          <cell r="HI1">
            <v>45506</v>
          </cell>
          <cell r="HJ1">
            <v>45507</v>
          </cell>
          <cell r="HK1">
            <v>45508</v>
          </cell>
          <cell r="HL1">
            <v>45509</v>
          </cell>
          <cell r="HM1">
            <v>45510</v>
          </cell>
          <cell r="HN1">
            <v>45511</v>
          </cell>
          <cell r="HO1">
            <v>45512</v>
          </cell>
          <cell r="HP1">
            <v>45513</v>
          </cell>
          <cell r="HQ1">
            <v>45514</v>
          </cell>
          <cell r="HR1">
            <v>45515</v>
          </cell>
          <cell r="HS1">
            <v>45516</v>
          </cell>
          <cell r="HT1">
            <v>45517</v>
          </cell>
          <cell r="HU1">
            <v>45518</v>
          </cell>
          <cell r="HV1">
            <v>45519</v>
          </cell>
          <cell r="HW1">
            <v>45520</v>
          </cell>
          <cell r="HX1">
            <v>45521</v>
          </cell>
          <cell r="HY1">
            <v>45522</v>
          </cell>
          <cell r="HZ1">
            <v>45523</v>
          </cell>
          <cell r="IA1">
            <v>45524</v>
          </cell>
          <cell r="IB1">
            <v>45525</v>
          </cell>
          <cell r="IC1">
            <v>45526</v>
          </cell>
          <cell r="ID1">
            <v>45527</v>
          </cell>
          <cell r="IE1">
            <v>45528</v>
          </cell>
          <cell r="IF1">
            <v>45529</v>
          </cell>
          <cell r="IG1">
            <v>45530</v>
          </cell>
          <cell r="IH1">
            <v>45531</v>
          </cell>
          <cell r="II1">
            <v>45532</v>
          </cell>
          <cell r="IJ1">
            <v>45533</v>
          </cell>
          <cell r="IK1">
            <v>45534</v>
          </cell>
          <cell r="IL1">
            <v>45535</v>
          </cell>
          <cell r="IM1">
            <v>45536</v>
          </cell>
          <cell r="IN1">
            <v>45537</v>
          </cell>
          <cell r="IO1">
            <v>45538</v>
          </cell>
          <cell r="IP1">
            <v>45539</v>
          </cell>
          <cell r="IQ1">
            <v>45540</v>
          </cell>
          <cell r="IR1">
            <v>45541</v>
          </cell>
          <cell r="IS1">
            <v>45542</v>
          </cell>
          <cell r="IT1">
            <v>45543</v>
          </cell>
          <cell r="IU1">
            <v>45544</v>
          </cell>
          <cell r="IV1">
            <v>45545</v>
          </cell>
          <cell r="IW1">
            <v>45546</v>
          </cell>
          <cell r="IX1">
            <v>45547</v>
          </cell>
          <cell r="IY1">
            <v>45548</v>
          </cell>
          <cell r="IZ1">
            <v>45549</v>
          </cell>
          <cell r="JA1">
            <v>45550</v>
          </cell>
          <cell r="JB1">
            <v>45551</v>
          </cell>
          <cell r="JC1">
            <v>45552</v>
          </cell>
          <cell r="JD1">
            <v>45553</v>
          </cell>
          <cell r="JE1">
            <v>45554</v>
          </cell>
          <cell r="JF1">
            <v>45555</v>
          </cell>
          <cell r="JG1">
            <v>45556</v>
          </cell>
          <cell r="JH1">
            <v>45557</v>
          </cell>
          <cell r="JI1">
            <v>45558</v>
          </cell>
          <cell r="JJ1">
            <v>45559</v>
          </cell>
          <cell r="JK1">
            <v>45560</v>
          </cell>
          <cell r="JL1">
            <v>45561</v>
          </cell>
          <cell r="JM1">
            <v>45562</v>
          </cell>
          <cell r="JN1">
            <v>45563</v>
          </cell>
          <cell r="JO1">
            <v>45564</v>
          </cell>
          <cell r="JP1">
            <v>45565</v>
          </cell>
          <cell r="JQ1">
            <v>45566</v>
          </cell>
          <cell r="JR1">
            <v>45567</v>
          </cell>
          <cell r="JS1">
            <v>45568</v>
          </cell>
          <cell r="JT1">
            <v>45569</v>
          </cell>
          <cell r="JU1">
            <v>45570</v>
          </cell>
          <cell r="JV1">
            <v>45571</v>
          </cell>
          <cell r="JW1">
            <v>45572</v>
          </cell>
          <cell r="JX1">
            <v>45573</v>
          </cell>
          <cell r="JY1">
            <v>45574</v>
          </cell>
          <cell r="JZ1">
            <v>45575</v>
          </cell>
          <cell r="KA1">
            <v>45576</v>
          </cell>
          <cell r="KB1">
            <v>45577</v>
          </cell>
          <cell r="KC1">
            <v>45578</v>
          </cell>
          <cell r="KD1">
            <v>45579</v>
          </cell>
          <cell r="KE1">
            <v>45580</v>
          </cell>
          <cell r="KF1">
            <v>45581</v>
          </cell>
          <cell r="KG1">
            <v>45582</v>
          </cell>
          <cell r="KH1">
            <v>45583</v>
          </cell>
          <cell r="KI1">
            <v>45584</v>
          </cell>
          <cell r="KJ1">
            <v>45585</v>
          </cell>
          <cell r="KK1">
            <v>45586</v>
          </cell>
          <cell r="KL1">
            <v>45587</v>
          </cell>
          <cell r="KM1">
            <v>45588</v>
          </cell>
          <cell r="KN1">
            <v>45589</v>
          </cell>
          <cell r="KO1">
            <v>45590</v>
          </cell>
          <cell r="KP1">
            <v>45591</v>
          </cell>
          <cell r="KQ1">
            <v>45592</v>
          </cell>
          <cell r="KR1">
            <v>45593</v>
          </cell>
          <cell r="KS1">
            <v>45594</v>
          </cell>
          <cell r="KT1">
            <v>45595</v>
          </cell>
          <cell r="KU1">
            <v>45596</v>
          </cell>
          <cell r="KV1">
            <v>45597</v>
          </cell>
          <cell r="KW1">
            <v>45598</v>
          </cell>
          <cell r="KX1">
            <v>45599</v>
          </cell>
          <cell r="KY1">
            <v>45600</v>
          </cell>
          <cell r="KZ1">
            <v>45601</v>
          </cell>
          <cell r="LA1">
            <v>45602</v>
          </cell>
          <cell r="LB1">
            <v>45603</v>
          </cell>
          <cell r="LC1">
            <v>45604</v>
          </cell>
          <cell r="LD1">
            <v>45605</v>
          </cell>
          <cell r="LE1">
            <v>45606</v>
          </cell>
          <cell r="LF1">
            <v>45607</v>
          </cell>
          <cell r="LG1">
            <v>45608</v>
          </cell>
          <cell r="LH1">
            <v>45609</v>
          </cell>
          <cell r="LI1">
            <v>45610</v>
          </cell>
          <cell r="LJ1">
            <v>45611</v>
          </cell>
          <cell r="LK1">
            <v>45612</v>
          </cell>
          <cell r="LL1">
            <v>45613</v>
          </cell>
          <cell r="LM1">
            <v>45614</v>
          </cell>
          <cell r="LN1">
            <v>45615</v>
          </cell>
          <cell r="LO1">
            <v>45616</v>
          </cell>
          <cell r="LP1">
            <v>45617</v>
          </cell>
          <cell r="LQ1">
            <v>45618</v>
          </cell>
          <cell r="LR1">
            <v>45619</v>
          </cell>
          <cell r="LS1">
            <v>45620</v>
          </cell>
          <cell r="LT1">
            <v>45621</v>
          </cell>
          <cell r="LU1">
            <v>45622</v>
          </cell>
          <cell r="LV1">
            <v>45623</v>
          </cell>
          <cell r="LW1">
            <v>45624</v>
          </cell>
          <cell r="LX1">
            <v>45625</v>
          </cell>
          <cell r="LY1">
            <v>45626</v>
          </cell>
          <cell r="LZ1">
            <v>45627</v>
          </cell>
          <cell r="MA1">
            <v>45628</v>
          </cell>
          <cell r="MB1">
            <v>45629</v>
          </cell>
          <cell r="MC1">
            <v>45630</v>
          </cell>
          <cell r="MD1">
            <v>45631</v>
          </cell>
          <cell r="ME1">
            <v>45632</v>
          </cell>
          <cell r="MF1">
            <v>45633</v>
          </cell>
          <cell r="MG1">
            <v>45634</v>
          </cell>
          <cell r="MH1">
            <v>45635</v>
          </cell>
          <cell r="MI1">
            <v>45636</v>
          </cell>
          <cell r="MJ1">
            <v>45637</v>
          </cell>
          <cell r="MK1">
            <v>45638</v>
          </cell>
          <cell r="ML1">
            <v>45639</v>
          </cell>
          <cell r="MM1">
            <v>45640</v>
          </cell>
          <cell r="MN1">
            <v>45641</v>
          </cell>
          <cell r="MO1">
            <v>45642</v>
          </cell>
          <cell r="MP1">
            <v>45643</v>
          </cell>
          <cell r="MQ1">
            <v>45644</v>
          </cell>
          <cell r="MR1">
            <v>45645</v>
          </cell>
          <cell r="MS1">
            <v>45646</v>
          </cell>
          <cell r="MT1">
            <v>45647</v>
          </cell>
          <cell r="MU1">
            <v>45648</v>
          </cell>
          <cell r="MV1">
            <v>45649</v>
          </cell>
          <cell r="MW1">
            <v>45650</v>
          </cell>
          <cell r="MX1">
            <v>45651</v>
          </cell>
          <cell r="MY1">
            <v>45652</v>
          </cell>
          <cell r="MZ1">
            <v>45653</v>
          </cell>
          <cell r="NA1">
            <v>45654</v>
          </cell>
          <cell r="NB1">
            <v>45655</v>
          </cell>
          <cell r="NC1">
            <v>45656</v>
          </cell>
          <cell r="ND1">
            <v>45657</v>
          </cell>
        </row>
        <row r="3">
          <cell r="C3">
            <v>242.48</v>
          </cell>
          <cell r="D3">
            <v>505.09</v>
          </cell>
          <cell r="E3">
            <v>773.94</v>
          </cell>
          <cell r="F3">
            <v>1044.36</v>
          </cell>
          <cell r="G3">
            <v>1312.85</v>
          </cell>
          <cell r="H3">
            <v>1578.42</v>
          </cell>
          <cell r="I3">
            <v>1841.73</v>
          </cell>
          <cell r="J3">
            <v>2113.7</v>
          </cell>
          <cell r="K3">
            <v>2383.53</v>
          </cell>
          <cell r="L3">
            <v>2655.16</v>
          </cell>
          <cell r="M3">
            <v>2924.02</v>
          </cell>
          <cell r="N3">
            <v>3190.05</v>
          </cell>
          <cell r="O3">
            <v>3450.92</v>
          </cell>
          <cell r="P3">
            <v>3706.65</v>
          </cell>
          <cell r="Q3">
            <v>3972.79</v>
          </cell>
          <cell r="R3">
            <v>4243.49</v>
          </cell>
          <cell r="S3">
            <v>4512.08</v>
          </cell>
          <cell r="T3">
            <v>4782.52</v>
          </cell>
          <cell r="U3">
            <v>5055.75</v>
          </cell>
          <cell r="V3">
            <v>5327.62</v>
          </cell>
          <cell r="W3">
            <v>5599.25</v>
          </cell>
          <cell r="X3">
            <v>5887.35</v>
          </cell>
          <cell r="Y3">
            <v>6179.52</v>
          </cell>
          <cell r="Z3">
            <v>6469.96</v>
          </cell>
          <cell r="AA3">
            <v>6753.68</v>
          </cell>
          <cell r="AB3">
            <v>7031.86</v>
          </cell>
          <cell r="AC3">
            <v>7301.56</v>
          </cell>
          <cell r="AD3">
            <v>7563.26</v>
          </cell>
          <cell r="AE3">
            <v>7825.81</v>
          </cell>
          <cell r="AF3">
            <v>8082.61</v>
          </cell>
          <cell r="AG3">
            <v>8334.18</v>
          </cell>
          <cell r="AH3">
            <v>251.35</v>
          </cell>
          <cell r="AI3">
            <v>502.32</v>
          </cell>
          <cell r="AJ3">
            <v>747.37</v>
          </cell>
          <cell r="AK3">
            <v>991.16</v>
          </cell>
          <cell r="AL3">
            <v>1231.22</v>
          </cell>
          <cell r="AM3">
            <v>1466.02</v>
          </cell>
          <cell r="AN3">
            <v>1693.89</v>
          </cell>
          <cell r="AO3">
            <v>1912.12</v>
          </cell>
          <cell r="AP3">
            <v>2119.5</v>
          </cell>
          <cell r="AQ3">
            <v>2309.25</v>
          </cell>
          <cell r="AR3">
            <v>2492.89</v>
          </cell>
          <cell r="AS3">
            <v>2674.43</v>
          </cell>
          <cell r="AT3">
            <v>2854.2</v>
          </cell>
          <cell r="AU3">
            <v>3035.89</v>
          </cell>
          <cell r="AV3">
            <v>3225.08</v>
          </cell>
          <cell r="AW3">
            <v>3418.63</v>
          </cell>
          <cell r="AX3">
            <v>3616.71</v>
          </cell>
          <cell r="AY3">
            <v>3823.29</v>
          </cell>
          <cell r="AZ3">
            <v>4041.85</v>
          </cell>
          <cell r="BA3">
            <v>4274.96</v>
          </cell>
          <cell r="BB3">
            <v>4520.28</v>
          </cell>
          <cell r="BC3">
            <v>4775.81</v>
          </cell>
          <cell r="BD3">
            <v>5036.81</v>
          </cell>
          <cell r="BE3">
            <v>5291.62</v>
          </cell>
          <cell r="BF3">
            <v>5545.66</v>
          </cell>
          <cell r="BG3">
            <v>5807.7</v>
          </cell>
          <cell r="BH3">
            <v>6069.06</v>
          </cell>
          <cell r="BI3">
            <v>6332.66</v>
          </cell>
          <cell r="BJ3">
            <v>6598.63</v>
          </cell>
          <cell r="BK3">
            <v>267.19</v>
          </cell>
          <cell r="BL3">
            <v>527.02</v>
          </cell>
          <cell r="BM3">
            <v>778.67</v>
          </cell>
          <cell r="BN3">
            <v>1037.46</v>
          </cell>
          <cell r="BO3">
            <v>1298.6</v>
          </cell>
          <cell r="BP3">
            <v>1558.48</v>
          </cell>
          <cell r="BQ3">
            <v>1815.83</v>
          </cell>
          <cell r="BR3">
            <v>2070.5</v>
          </cell>
          <cell r="BS3">
            <v>2321.51</v>
          </cell>
          <cell r="BT3">
            <v>2566.2</v>
          </cell>
          <cell r="BU3">
            <v>2812.49</v>
          </cell>
          <cell r="BV3">
            <v>3058.96</v>
          </cell>
          <cell r="BW3">
            <v>3306.56</v>
          </cell>
          <cell r="BX3">
            <v>3554.07</v>
          </cell>
          <cell r="BY3">
            <v>3798.9</v>
          </cell>
          <cell r="BZ3">
            <v>4039.3</v>
          </cell>
          <cell r="CA3">
            <v>4275.76</v>
          </cell>
          <cell r="CB3">
            <v>4520.54</v>
          </cell>
          <cell r="CC3">
            <v>4764.83</v>
          </cell>
          <cell r="CD3">
            <v>5006.01</v>
          </cell>
          <cell r="CE3">
            <v>5248.03</v>
          </cell>
          <cell r="CF3">
            <v>5489.8</v>
          </cell>
          <cell r="CG3">
            <v>5729.06</v>
          </cell>
          <cell r="CH3">
            <v>5964.3</v>
          </cell>
          <cell r="CI3">
            <v>6206.02</v>
          </cell>
          <cell r="CJ3">
            <v>6448.43</v>
          </cell>
          <cell r="CK3">
            <v>6692.7</v>
          </cell>
          <cell r="CL3">
            <v>6935.05</v>
          </cell>
          <cell r="CM3">
            <v>7276.71</v>
          </cell>
          <cell r="CN3">
            <v>7415.31</v>
          </cell>
          <cell r="CO3">
            <v>7648.64</v>
          </cell>
          <cell r="CP3">
            <v>237.25</v>
          </cell>
          <cell r="CQ3">
            <v>476.69</v>
          </cell>
          <cell r="CR3">
            <v>716.12</v>
          </cell>
          <cell r="CS3">
            <v>933.67</v>
          </cell>
          <cell r="CT3">
            <v>1156.34</v>
          </cell>
          <cell r="CU3">
            <v>1387.9</v>
          </cell>
          <cell r="CV3">
            <v>1623.93</v>
          </cell>
          <cell r="CW3">
            <v>1861.59</v>
          </cell>
          <cell r="CX3">
            <v>2098.58</v>
          </cell>
          <cell r="CY3">
            <v>2335.73</v>
          </cell>
          <cell r="CZ3">
            <v>2573.84</v>
          </cell>
          <cell r="DA3">
            <v>2813.31</v>
          </cell>
          <cell r="DB3">
            <v>3051.67</v>
          </cell>
          <cell r="DC3">
            <v>3285.03</v>
          </cell>
          <cell r="DD3">
            <v>3525.54</v>
          </cell>
          <cell r="DE3">
            <v>3766.62</v>
          </cell>
          <cell r="DF3">
            <v>4008.85</v>
          </cell>
          <cell r="DG3">
            <v>4249.92</v>
          </cell>
          <cell r="DH3">
            <v>4489.4</v>
          </cell>
          <cell r="DI3">
            <v>4726.72</v>
          </cell>
          <cell r="DJ3">
            <v>4957.32</v>
          </cell>
          <cell r="DK3">
            <v>5193.82</v>
          </cell>
          <cell r="DL3">
            <v>5431.92</v>
          </cell>
          <cell r="DM3">
            <v>5670.8</v>
          </cell>
          <cell r="DN3">
            <v>5910.49</v>
          </cell>
          <cell r="DO3">
            <v>6152.52</v>
          </cell>
          <cell r="DP3">
            <v>6394.31</v>
          </cell>
          <cell r="DQ3">
            <v>6635.11</v>
          </cell>
          <cell r="DR3">
            <v>6876.6</v>
          </cell>
          <cell r="DS3">
            <v>7112.67</v>
          </cell>
          <cell r="DT3">
            <v>208.11</v>
          </cell>
          <cell r="DU3">
            <v>417.79</v>
          </cell>
          <cell r="DV3">
            <v>637.84</v>
          </cell>
          <cell r="DW3">
            <v>863.7</v>
          </cell>
          <cell r="DX3">
            <v>1093.93</v>
          </cell>
          <cell r="DY3">
            <v>1332</v>
          </cell>
          <cell r="DZ3">
            <v>1572.73</v>
          </cell>
          <cell r="EA3">
            <v>1814.22</v>
          </cell>
          <cell r="EB3">
            <v>2054.41</v>
          </cell>
          <cell r="EC3">
            <v>2295.81</v>
          </cell>
          <cell r="ED3">
            <v>2537.39</v>
          </cell>
          <cell r="EE3">
            <v>2772.22</v>
          </cell>
          <cell r="EF3">
            <v>3011.89</v>
          </cell>
          <cell r="EG3">
            <v>3254.38</v>
          </cell>
          <cell r="EH3">
            <v>3496.48</v>
          </cell>
          <cell r="EI3">
            <v>3739.16</v>
          </cell>
          <cell r="EJ3">
            <v>3987.35</v>
          </cell>
          <cell r="EK3">
            <v>4235.28</v>
          </cell>
          <cell r="EL3">
            <v>4475.71</v>
          </cell>
          <cell r="EM3">
            <v>4720.57</v>
          </cell>
          <cell r="EN3">
            <v>4968.06</v>
          </cell>
          <cell r="EO3">
            <v>5217.75</v>
          </cell>
          <cell r="EP3">
            <v>5471.38</v>
          </cell>
          <cell r="EQ3">
            <v>5726.65</v>
          </cell>
          <cell r="ER3">
            <v>5979</v>
          </cell>
          <cell r="ES3">
            <v>6226.46</v>
          </cell>
          <cell r="ET3">
            <v>6476.37</v>
          </cell>
          <cell r="EU3">
            <v>6724.6</v>
          </cell>
          <cell r="EV3">
            <v>6970.94</v>
          </cell>
          <cell r="EW3">
            <v>7217.14</v>
          </cell>
          <cell r="EX3">
            <v>7465.16</v>
          </cell>
          <cell r="EY3">
            <v>241.68</v>
          </cell>
          <cell r="EZ3">
            <v>480.58</v>
          </cell>
          <cell r="FA3">
            <v>729.04</v>
          </cell>
          <cell r="FB3">
            <v>978.17</v>
          </cell>
          <cell r="FC3">
            <v>1226.11</v>
          </cell>
          <cell r="FD3">
            <v>1475.01</v>
          </cell>
          <cell r="FE3">
            <v>1724.1</v>
          </cell>
          <cell r="FF3">
            <v>1972.04</v>
          </cell>
          <cell r="FG3">
            <v>2214.48</v>
          </cell>
          <cell r="FH3">
            <v>2446.7</v>
          </cell>
          <cell r="FI3">
            <v>2703.02</v>
          </cell>
          <cell r="FJ3">
            <v>2974.32</v>
          </cell>
          <cell r="FK3">
            <v>3253.87</v>
          </cell>
          <cell r="FL3">
            <v>3535.41</v>
          </cell>
          <cell r="FM3">
            <v>3814.19</v>
          </cell>
          <cell r="FN3">
            <v>4080.72</v>
          </cell>
          <cell r="FO3">
            <v>4353.35</v>
          </cell>
          <cell r="FP3">
            <v>4629.5</v>
          </cell>
          <cell r="FQ3">
            <v>4906.18</v>
          </cell>
          <cell r="FR3">
            <v>5186.83</v>
          </cell>
          <cell r="FS3">
            <v>5467.05</v>
          </cell>
          <cell r="FT3">
            <v>5745.76</v>
          </cell>
          <cell r="FU3">
            <v>6015.71</v>
          </cell>
          <cell r="FV3">
            <v>6289.78</v>
          </cell>
          <cell r="FW3">
            <v>6563.56</v>
          </cell>
          <cell r="FX3">
            <v>6837.26</v>
          </cell>
          <cell r="FY3">
            <v>7110.51</v>
          </cell>
          <cell r="FZ3">
            <v>7386.7</v>
          </cell>
          <cell r="GA3">
            <v>7660.61</v>
          </cell>
          <cell r="GB3">
            <v>7930.7</v>
          </cell>
          <cell r="GC3">
            <v>272.99</v>
          </cell>
          <cell r="GD3">
            <v>543.62</v>
          </cell>
          <cell r="GE3">
            <v>819.34</v>
          </cell>
          <cell r="GF3">
            <v>1102.02</v>
          </cell>
          <cell r="GG3">
            <v>1392.53</v>
          </cell>
          <cell r="GH3">
            <v>1684.2</v>
          </cell>
          <cell r="GI3">
            <v>1973.83</v>
          </cell>
          <cell r="GJ3">
            <v>2272.09</v>
          </cell>
          <cell r="GK3">
            <v>2569.24</v>
          </cell>
          <cell r="GL3">
            <v>2864.33</v>
          </cell>
          <cell r="GM3">
            <v>3156.37</v>
          </cell>
          <cell r="GN3">
            <v>3449.89</v>
          </cell>
          <cell r="GO3">
            <v>3736.15</v>
          </cell>
          <cell r="GP3">
            <v>4014.57</v>
          </cell>
          <cell r="GQ3">
            <v>4305.55</v>
          </cell>
          <cell r="GR3">
            <v>4602.75</v>
          </cell>
          <cell r="GS3">
            <v>4901.53</v>
          </cell>
          <cell r="GT3">
            <v>5204.05</v>
          </cell>
          <cell r="GU3">
            <v>5511.05</v>
          </cell>
          <cell r="GV3">
            <v>5812.35</v>
          </cell>
          <cell r="GW3">
            <v>6116.38</v>
          </cell>
          <cell r="GX3">
            <v>6434.3</v>
          </cell>
          <cell r="GY3">
            <v>6758.94</v>
          </cell>
          <cell r="GZ3">
            <v>7084.23</v>
          </cell>
          <cell r="HA3">
            <v>7398.86</v>
          </cell>
          <cell r="HB3">
            <v>7708.73</v>
          </cell>
          <cell r="HC3">
            <v>8006.54</v>
          </cell>
          <cell r="HD3">
            <v>8293.57</v>
          </cell>
          <cell r="HE3">
            <v>8591.6</v>
          </cell>
          <cell r="HF3">
            <v>8892</v>
          </cell>
          <cell r="HG3">
            <v>9196.49</v>
          </cell>
          <cell r="HH3">
            <v>308.94</v>
          </cell>
          <cell r="HI3">
            <v>625.1</v>
          </cell>
          <cell r="HJ3">
            <v>941.03</v>
          </cell>
          <cell r="HK3">
            <v>1248.45</v>
          </cell>
          <cell r="HL3">
            <v>1563.8</v>
          </cell>
          <cell r="HM3">
            <v>1880.53</v>
          </cell>
          <cell r="HN3">
            <v>2197.21</v>
          </cell>
          <cell r="HO3">
            <v>2515.78</v>
          </cell>
          <cell r="HP3">
            <v>2833.95</v>
          </cell>
          <cell r="HQ3">
            <v>3145.41</v>
          </cell>
          <cell r="HR3">
            <v>3447.58</v>
          </cell>
          <cell r="HS3">
            <v>3757.25</v>
          </cell>
          <cell r="HT3">
            <v>4064.78</v>
          </cell>
          <cell r="HU3">
            <v>4369.45</v>
          </cell>
          <cell r="HV3">
            <v>4671.69</v>
          </cell>
          <cell r="HW3">
            <v>4972.22</v>
          </cell>
          <cell r="HX3">
            <v>5269.11</v>
          </cell>
          <cell r="HY3">
            <v>5555.52</v>
          </cell>
          <cell r="HZ3">
            <v>5848.06</v>
          </cell>
          <cell r="IA3">
            <v>6143.87</v>
          </cell>
          <cell r="IB3">
            <v>6440.51</v>
          </cell>
          <cell r="IC3">
            <v>6745.41</v>
          </cell>
          <cell r="ID3">
            <v>7058.45</v>
          </cell>
          <cell r="IE3">
            <v>7370.46</v>
          </cell>
          <cell r="IF3">
            <v>7675</v>
          </cell>
          <cell r="IG3">
            <v>7981.62</v>
          </cell>
          <cell r="IH3">
            <v>8280.54</v>
          </cell>
          <cell r="II3">
            <v>8574.95</v>
          </cell>
          <cell r="IJ3">
            <v>8870.76</v>
          </cell>
          <cell r="IK3">
            <v>9172.23</v>
          </cell>
          <cell r="IL3">
            <v>9473.35</v>
          </cell>
          <cell r="IM3">
            <v>297.32</v>
          </cell>
          <cell r="IN3">
            <v>598.23</v>
          </cell>
          <cell r="IO3">
            <v>894.56</v>
          </cell>
          <cell r="IP3">
            <v>1196.03</v>
          </cell>
          <cell r="IQ3">
            <v>1497.65</v>
          </cell>
          <cell r="IR3">
            <v>1790.3</v>
          </cell>
          <cell r="IS3">
            <v>2077.09</v>
          </cell>
          <cell r="IT3">
            <v>2361.19</v>
          </cell>
          <cell r="IU3">
            <v>2657.58</v>
          </cell>
          <cell r="IV3">
            <v>2949.58</v>
          </cell>
          <cell r="IW3">
            <v>3234.84</v>
          </cell>
          <cell r="IX3">
            <v>3519.23</v>
          </cell>
          <cell r="IY3">
            <v>3805.78</v>
          </cell>
          <cell r="IZ3">
            <v>4088.58</v>
          </cell>
          <cell r="JA3">
            <v>4358.96</v>
          </cell>
          <cell r="JB3">
            <v>4616.26</v>
          </cell>
          <cell r="JC3">
            <v>4861.95</v>
          </cell>
          <cell r="JD3">
            <v>5135.31</v>
          </cell>
          <cell r="JE3">
            <v>5419.8</v>
          </cell>
          <cell r="JF3">
            <v>5705.39</v>
          </cell>
          <cell r="JG3">
            <v>5971.72</v>
          </cell>
          <cell r="JH3">
            <v>6222.24</v>
          </cell>
          <cell r="JI3">
            <v>6472.16</v>
          </cell>
          <cell r="JJ3">
            <v>6724.32</v>
          </cell>
          <cell r="JK3">
            <v>6981.14</v>
          </cell>
          <cell r="JL3">
            <v>7242.02</v>
          </cell>
          <cell r="JM3">
            <v>7505.61</v>
          </cell>
          <cell r="JN3">
            <v>7769.22</v>
          </cell>
          <cell r="JO3">
            <v>8034.72</v>
          </cell>
          <cell r="JP3">
            <v>8289.57</v>
          </cell>
          <cell r="JQ3">
            <v>218.68</v>
          </cell>
          <cell r="JR3">
            <v>428.52</v>
          </cell>
          <cell r="JS3">
            <v>642.88</v>
          </cell>
          <cell r="JT3">
            <v>866.35</v>
          </cell>
          <cell r="JU3">
            <v>1098.3</v>
          </cell>
          <cell r="JV3">
            <v>1335.4</v>
          </cell>
          <cell r="JW3">
            <v>1577.78</v>
          </cell>
          <cell r="JX3">
            <v>1823.43</v>
          </cell>
        </row>
        <row r="4">
          <cell r="C4">
            <v>0.0698</v>
          </cell>
          <cell r="D4">
            <v>0.0963</v>
          </cell>
          <cell r="E4">
            <v>0.1016</v>
          </cell>
          <cell r="F4">
            <v>0.1064</v>
          </cell>
          <cell r="G4">
            <v>0.1104</v>
          </cell>
          <cell r="H4">
            <v>0.1152</v>
          </cell>
          <cell r="I4">
            <v>0.1205</v>
          </cell>
          <cell r="J4">
            <v>0.1322</v>
          </cell>
          <cell r="K4">
            <v>0.1389</v>
          </cell>
          <cell r="L4">
            <v>0.1459</v>
          </cell>
          <cell r="M4">
            <v>0.1511</v>
          </cell>
          <cell r="N4">
            <v>0.1564</v>
          </cell>
          <cell r="O4">
            <v>0.1601</v>
          </cell>
          <cell r="P4">
            <v>0.1608</v>
          </cell>
          <cell r="Q4">
            <v>0.1631</v>
          </cell>
          <cell r="R4">
            <v>0.1658</v>
          </cell>
          <cell r="S4">
            <v>0.1693</v>
          </cell>
          <cell r="T4">
            <v>0.1752</v>
          </cell>
          <cell r="U4">
            <v>0.1839</v>
          </cell>
          <cell r="V4">
            <v>0.1926</v>
          </cell>
          <cell r="W4">
            <v>0.202</v>
          </cell>
          <cell r="X4">
            <v>0.2168</v>
          </cell>
          <cell r="Y4">
            <v>0.2305</v>
          </cell>
          <cell r="Z4">
            <v>0.241</v>
          </cell>
          <cell r="AA4">
            <v>0.2484</v>
          </cell>
          <cell r="AB4">
            <v>0.2538</v>
          </cell>
          <cell r="AC4">
            <v>0.2567</v>
          </cell>
          <cell r="AD4">
            <v>0.2567</v>
          </cell>
          <cell r="AE4">
            <v>0.2563</v>
          </cell>
          <cell r="AF4">
            <v>0.2548</v>
          </cell>
          <cell r="AG4">
            <v>0.2527</v>
          </cell>
          <cell r="AH4">
            <v>0.1476</v>
          </cell>
          <cell r="AI4">
            <v>0.1239</v>
          </cell>
          <cell r="AJ4">
            <v>0.1034</v>
          </cell>
          <cell r="AK4">
            <v>0.0952</v>
          </cell>
          <cell r="AL4">
            <v>0.0943</v>
          </cell>
          <cell r="AM4">
            <v>0.0812</v>
          </cell>
          <cell r="AN4">
            <v>0.0642</v>
          </cell>
          <cell r="AO4">
            <v>0.0439</v>
          </cell>
          <cell r="AP4">
            <v>0.0215</v>
          </cell>
          <cell r="AQ4">
            <v>-0.0046</v>
          </cell>
          <cell r="AR4">
            <v>-0.0267</v>
          </cell>
          <cell r="AS4">
            <v>-0.0442</v>
          </cell>
          <cell r="AT4">
            <v>-0.0631</v>
          </cell>
          <cell r="AU4">
            <v>-0.0791</v>
          </cell>
          <cell r="AV4">
            <v>-0.0906</v>
          </cell>
          <cell r="AW4">
            <v>-0.0992</v>
          </cell>
          <cell r="AX4">
            <v>-0.1053</v>
          </cell>
          <cell r="AY4">
            <v>-0.1074</v>
          </cell>
          <cell r="AZ4">
            <v>-0.1056</v>
          </cell>
          <cell r="BA4">
            <v>-0.1021</v>
          </cell>
          <cell r="BB4">
            <v>-0.0975</v>
          </cell>
          <cell r="BC4">
            <v>-0.0919</v>
          </cell>
          <cell r="BD4">
            <v>-0.0858</v>
          </cell>
          <cell r="BE4">
            <v>-0.0812</v>
          </cell>
          <cell r="BF4">
            <v>-0.0762</v>
          </cell>
          <cell r="BG4">
            <v>-0.0692</v>
          </cell>
          <cell r="BH4">
            <v>-0.0635</v>
          </cell>
          <cell r="BI4">
            <v>-0.0576</v>
          </cell>
          <cell r="BJ4">
            <v>-0.0519</v>
          </cell>
          <cell r="BK4">
            <v>0.1288</v>
          </cell>
          <cell r="BL4">
            <v>0.1092</v>
          </cell>
          <cell r="BM4">
            <v>0.0911</v>
          </cell>
          <cell r="BN4">
            <v>0.0955</v>
          </cell>
          <cell r="BO4">
            <v>0.1067</v>
          </cell>
          <cell r="BP4">
            <v>0.1106</v>
          </cell>
          <cell r="BQ4">
            <v>0.1113</v>
          </cell>
          <cell r="BR4">
            <v>0.1109</v>
          </cell>
          <cell r="BS4">
            <v>0.1092</v>
          </cell>
          <cell r="BT4">
            <v>0.105</v>
          </cell>
          <cell r="BU4">
            <v>0.1028</v>
          </cell>
          <cell r="BV4">
            <v>0.1022</v>
          </cell>
          <cell r="BW4">
            <v>0.1003</v>
          </cell>
          <cell r="BX4">
            <v>0.0983</v>
          </cell>
          <cell r="BY4">
            <v>0.0954</v>
          </cell>
          <cell r="BZ4">
            <v>0.0908</v>
          </cell>
          <cell r="CA4">
            <v>0.0847</v>
          </cell>
          <cell r="CB4">
            <v>0.0822</v>
          </cell>
          <cell r="CC4">
            <v>0.0814</v>
          </cell>
          <cell r="CD4">
            <v>0.0788</v>
          </cell>
          <cell r="CE4">
            <v>0.0765</v>
          </cell>
          <cell r="CF4">
            <v>0.0742</v>
          </cell>
          <cell r="CG4">
            <v>0.0714</v>
          </cell>
          <cell r="CH4">
            <v>0.068</v>
          </cell>
          <cell r="CI4">
            <v>0.0667</v>
          </cell>
          <cell r="CJ4">
            <v>0.0671</v>
          </cell>
          <cell r="CK4">
            <v>0.067</v>
          </cell>
          <cell r="CL4">
            <v>0.0665</v>
          </cell>
          <cell r="CM4">
            <v>0.0661</v>
          </cell>
          <cell r="CN4">
            <v>0.0655</v>
          </cell>
          <cell r="CO4">
            <v>0.0645</v>
          </cell>
          <cell r="CP4">
            <v>0.0762</v>
          </cell>
          <cell r="CQ4">
            <v>0.0888</v>
          </cell>
          <cell r="CR4">
            <v>0.086</v>
          </cell>
          <cell r="CS4">
            <v>0.0601</v>
          </cell>
          <cell r="CT4">
            <v>0.0628</v>
          </cell>
          <cell r="CU4">
            <v>0.0608</v>
          </cell>
          <cell r="CV4">
            <v>0.0596</v>
          </cell>
          <cell r="CW4">
            <v>0.0614</v>
          </cell>
          <cell r="CX4">
            <v>0.0648</v>
          </cell>
          <cell r="CY4">
            <v>0.0655</v>
          </cell>
          <cell r="CZ4">
            <v>0.065</v>
          </cell>
          <cell r="DA4">
            <v>0.0653</v>
          </cell>
          <cell r="DB4">
            <v>0.0649</v>
          </cell>
          <cell r="DC4">
            <v>0.0626</v>
          </cell>
          <cell r="DD4">
            <v>0.064</v>
          </cell>
          <cell r="DE4">
            <v>0.0672</v>
          </cell>
          <cell r="DF4">
            <v>0.0676</v>
          </cell>
          <cell r="DG4">
            <v>0.0667</v>
          </cell>
          <cell r="DH4">
            <v>0.0658</v>
          </cell>
          <cell r="DI4">
            <v>0.0647</v>
          </cell>
          <cell r="DJ4">
            <v>0.0624</v>
          </cell>
          <cell r="DK4">
            <v>0.0624</v>
          </cell>
          <cell r="DL4">
            <v>0.0627</v>
          </cell>
          <cell r="DM4">
            <v>0.0624</v>
          </cell>
          <cell r="DN4">
            <v>0.0626</v>
          </cell>
          <cell r="DO4">
            <v>0.0637</v>
          </cell>
          <cell r="DP4">
            <v>0.0644</v>
          </cell>
          <cell r="DQ4">
            <v>0.0647</v>
          </cell>
          <cell r="DR4">
            <v>0.0665</v>
          </cell>
          <cell r="DS4">
            <v>0.0691</v>
          </cell>
          <cell r="DT4">
            <v>0.0987</v>
          </cell>
          <cell r="DU4">
            <v>0.0827</v>
          </cell>
          <cell r="DV4">
            <v>0.0709</v>
          </cell>
          <cell r="DW4">
            <v>0.0556</v>
          </cell>
          <cell r="DX4">
            <v>0.0478</v>
          </cell>
          <cell r="DY4">
            <v>0.0488</v>
          </cell>
          <cell r="DZ4">
            <v>0.0564</v>
          </cell>
          <cell r="EA4">
            <v>0.0613</v>
          </cell>
          <cell r="EB4">
            <v>0.0637</v>
          </cell>
          <cell r="EC4">
            <v>0.0656</v>
          </cell>
          <cell r="ED4">
            <v>0.0677</v>
          </cell>
          <cell r="EE4">
            <v>0.0666</v>
          </cell>
          <cell r="EF4">
            <v>0.0681</v>
          </cell>
          <cell r="EG4">
            <v>0.0719</v>
          </cell>
          <cell r="EH4">
            <v>0.0719</v>
          </cell>
          <cell r="EI4">
            <v>0.0706</v>
          </cell>
          <cell r="EJ4">
            <v>0.0704</v>
          </cell>
          <cell r="EK4">
            <v>0.0696</v>
          </cell>
          <cell r="EL4">
            <v>0.0669</v>
          </cell>
          <cell r="EM4">
            <v>0.0661</v>
          </cell>
          <cell r="EN4">
            <v>0.0676</v>
          </cell>
          <cell r="EO4">
            <v>0.0684</v>
          </cell>
          <cell r="EP4">
            <v>0.0703</v>
          </cell>
          <cell r="EQ4">
            <v>0.0727</v>
          </cell>
          <cell r="ER4">
            <v>0.0741</v>
          </cell>
          <cell r="ES4">
            <v>0.0737</v>
          </cell>
          <cell r="ET4">
            <v>0.0739</v>
          </cell>
          <cell r="EU4">
            <v>0.074</v>
          </cell>
          <cell r="EV4">
            <v>0.0721</v>
          </cell>
          <cell r="EW4">
            <v>0.0696</v>
          </cell>
          <cell r="EX4">
            <v>0.0675</v>
          </cell>
          <cell r="EY4">
            <v>-0.0029</v>
          </cell>
          <cell r="EZ4">
            <v>-0.0152</v>
          </cell>
          <cell r="FA4">
            <v>0</v>
          </cell>
          <cell r="FB4">
            <v>0.0169</v>
          </cell>
          <cell r="FC4">
            <v>0.0209</v>
          </cell>
          <cell r="FD4">
            <v>0.0234</v>
          </cell>
          <cell r="FE4">
            <v>0.0243</v>
          </cell>
          <cell r="FF4">
            <v>0.0232</v>
          </cell>
          <cell r="FG4">
            <v>0.0176</v>
          </cell>
          <cell r="FH4">
            <v>0.0091</v>
          </cell>
          <cell r="FI4">
            <v>0.0135</v>
          </cell>
          <cell r="FJ4">
            <v>0.0193</v>
          </cell>
          <cell r="FK4">
            <v>0.0261</v>
          </cell>
          <cell r="FL4">
            <v>0.0325</v>
          </cell>
          <cell r="FM4">
            <v>0.0368</v>
          </cell>
          <cell r="FN4">
            <v>0.0377</v>
          </cell>
          <cell r="FO4">
            <v>0.0416</v>
          </cell>
          <cell r="FP4">
            <v>0.0469</v>
          </cell>
          <cell r="FQ4">
            <v>0.05</v>
          </cell>
          <cell r="FR4">
            <v>0.0522</v>
          </cell>
          <cell r="FS4">
            <v>0.0537</v>
          </cell>
          <cell r="FT4">
            <v>0.0591</v>
          </cell>
          <cell r="FU4">
            <v>0.0616</v>
          </cell>
          <cell r="FV4">
            <v>0.0635</v>
          </cell>
          <cell r="FW4">
            <v>0.0643</v>
          </cell>
          <cell r="FX4">
            <v>0.0642</v>
          </cell>
          <cell r="FY4">
            <v>0.0626</v>
          </cell>
          <cell r="FZ4">
            <v>0.0608</v>
          </cell>
          <cell r="GA4">
            <v>0.0589</v>
          </cell>
          <cell r="GB4">
            <v>0.0569</v>
          </cell>
          <cell r="GC4">
            <v>0.0213</v>
          </cell>
          <cell r="GD4">
            <v>0.0195</v>
          </cell>
          <cell r="GE4">
            <v>0.0151</v>
          </cell>
          <cell r="GF4">
            <v>0.0235</v>
          </cell>
          <cell r="GG4">
            <v>0.0318</v>
          </cell>
          <cell r="GH4">
            <v>0.0317</v>
          </cell>
          <cell r="GI4">
            <v>0.0282</v>
          </cell>
          <cell r="GJ4">
            <v>0.0299</v>
          </cell>
          <cell r="GK4">
            <v>0.0319</v>
          </cell>
          <cell r="GL4">
            <v>0.0279</v>
          </cell>
          <cell r="GM4">
            <v>0.022</v>
          </cell>
          <cell r="GN4">
            <v>0.0187</v>
          </cell>
          <cell r="GO4">
            <v>0.0157</v>
          </cell>
          <cell r="GP4">
            <v>0.0118</v>
          </cell>
          <cell r="GQ4">
            <v>0.0126</v>
          </cell>
          <cell r="GR4">
            <v>0.0174</v>
          </cell>
          <cell r="GS4">
            <v>0.0206</v>
          </cell>
          <cell r="GT4">
            <v>0.0237</v>
          </cell>
          <cell r="GU4">
            <v>0.0272</v>
          </cell>
          <cell r="GV4">
            <v>0.0293</v>
          </cell>
          <cell r="GW4">
            <v>0.032</v>
          </cell>
          <cell r="GX4">
            <v>0.0375</v>
          </cell>
          <cell r="GY4">
            <v>0.0436</v>
          </cell>
          <cell r="GZ4">
            <v>0.0471</v>
          </cell>
          <cell r="HA4">
            <v>0.0489</v>
          </cell>
          <cell r="HB4">
            <v>0.0498</v>
          </cell>
          <cell r="HC4">
            <v>0.0494</v>
          </cell>
          <cell r="HD4">
            <v>0.0487</v>
          </cell>
          <cell r="HE4">
            <v>0.0507</v>
          </cell>
          <cell r="HF4">
            <v>0.0539</v>
          </cell>
          <cell r="HG4">
            <v>0.0559</v>
          </cell>
          <cell r="HH4">
            <v>0.1246</v>
          </cell>
          <cell r="HI4">
            <v>0.123</v>
          </cell>
          <cell r="HJ4">
            <v>0.1099</v>
          </cell>
          <cell r="HK4">
            <v>0.0877</v>
          </cell>
          <cell r="HL4">
            <v>0.0837</v>
          </cell>
          <cell r="HM4">
            <v>0.0901</v>
          </cell>
          <cell r="HN4">
            <v>0.092</v>
          </cell>
          <cell r="HO4">
            <v>0.093</v>
          </cell>
          <cell r="HP4">
            <v>0.0923</v>
          </cell>
          <cell r="HQ4">
            <v>0.089</v>
          </cell>
          <cell r="HR4">
            <v>0.0836</v>
          </cell>
          <cell r="HS4">
            <v>0.0837</v>
          </cell>
          <cell r="HT4">
            <v>0.0855</v>
          </cell>
          <cell r="HU4">
            <v>0.0832</v>
          </cell>
          <cell r="HV4">
            <v>0.0803</v>
          </cell>
          <cell r="HW4">
            <v>0.0761</v>
          </cell>
          <cell r="HX4">
            <v>0.0715</v>
          </cell>
          <cell r="HY4">
            <v>0.0659</v>
          </cell>
          <cell r="HZ4">
            <v>0.0633</v>
          </cell>
          <cell r="IA4">
            <v>0.0636</v>
          </cell>
          <cell r="IB4">
            <v>0.0632</v>
          </cell>
          <cell r="IC4">
            <v>0.064</v>
          </cell>
          <cell r="ID4">
            <v>0.0664</v>
          </cell>
          <cell r="IE4">
            <v>0.0693</v>
          </cell>
          <cell r="IF4">
            <v>0.0711</v>
          </cell>
          <cell r="IG4">
            <v>0.0744</v>
          </cell>
          <cell r="IH4">
            <v>0.0781</v>
          </cell>
          <cell r="II4">
            <v>0.0806</v>
          </cell>
          <cell r="IJ4">
            <v>0.0838</v>
          </cell>
          <cell r="IK4">
            <v>0.0877</v>
          </cell>
          <cell r="IL4">
            <v>0.0911</v>
          </cell>
          <cell r="IM4">
            <v>0.1996</v>
          </cell>
          <cell r="IN4">
            <v>0.2118</v>
          </cell>
          <cell r="IO4">
            <v>0.2078</v>
          </cell>
          <cell r="IP4">
            <v>0.1927</v>
          </cell>
          <cell r="IQ4">
            <v>0.1798</v>
          </cell>
          <cell r="IR4">
            <v>0.1634</v>
          </cell>
          <cell r="IS4">
            <v>0.1485</v>
          </cell>
          <cell r="IT4">
            <v>0.1366</v>
          </cell>
          <cell r="IU4">
            <v>0.1351</v>
          </cell>
          <cell r="IV4">
            <v>0.1356</v>
          </cell>
          <cell r="IW4">
            <v>0.1313</v>
          </cell>
          <cell r="IX4">
            <v>0.1293</v>
          </cell>
          <cell r="IY4">
            <v>0.1297</v>
          </cell>
          <cell r="IZ4">
            <v>0.1294</v>
          </cell>
          <cell r="JA4">
            <v>0.1257</v>
          </cell>
          <cell r="JB4">
            <v>0.1196</v>
          </cell>
          <cell r="JC4">
            <v>0.1117</v>
          </cell>
          <cell r="JD4">
            <v>0.1074</v>
          </cell>
          <cell r="JE4">
            <v>0.1052</v>
          </cell>
          <cell r="JF4">
            <v>0.1048</v>
          </cell>
          <cell r="JG4">
            <v>0.1023</v>
          </cell>
          <cell r="JH4">
            <v>0.0977</v>
          </cell>
          <cell r="JI4">
            <v>0.0942</v>
          </cell>
          <cell r="JJ4">
            <v>0.092</v>
          </cell>
          <cell r="JK4">
            <v>0.0895</v>
          </cell>
          <cell r="JL4">
            <v>0.0875</v>
          </cell>
          <cell r="JM4">
            <v>0.086</v>
          </cell>
          <cell r="JN4">
            <v>0.0855</v>
          </cell>
          <cell r="JO4">
            <v>0.0892</v>
          </cell>
          <cell r="JP4">
            <v>0.092</v>
          </cell>
          <cell r="JQ4">
            <v>0.0513</v>
          </cell>
          <cell r="JR4">
            <v>0.0206</v>
          </cell>
          <cell r="JS4">
            <v>0.0062</v>
          </cell>
          <cell r="JT4">
            <v>-0.0027</v>
          </cell>
          <cell r="JU4">
            <v>-0.003</v>
          </cell>
          <cell r="JV4">
            <v>0.0002</v>
          </cell>
          <cell r="JW4">
            <v>0.0062</v>
          </cell>
          <cell r="JX4">
            <v>0.0142</v>
          </cell>
        </row>
        <row r="6">
          <cell r="C6">
            <v>242.48</v>
          </cell>
          <cell r="D6">
            <v>505.09</v>
          </cell>
          <cell r="E6">
            <v>773.94</v>
          </cell>
          <cell r="F6">
            <v>1044.36</v>
          </cell>
          <cell r="G6">
            <v>1312.85</v>
          </cell>
          <cell r="H6">
            <v>1578.42</v>
          </cell>
          <cell r="I6">
            <v>1841.73</v>
          </cell>
          <cell r="J6">
            <v>2113.7</v>
          </cell>
          <cell r="K6">
            <v>2383.53</v>
          </cell>
          <cell r="L6">
            <v>2655.16</v>
          </cell>
          <cell r="M6">
            <v>2926.02</v>
          </cell>
          <cell r="N6">
            <v>3190.05</v>
          </cell>
          <cell r="O6">
            <v>3450.92</v>
          </cell>
          <cell r="P6">
            <v>3706.65</v>
          </cell>
          <cell r="Q6">
            <v>3972.79</v>
          </cell>
          <cell r="R6">
            <v>4243.49</v>
          </cell>
          <cell r="S6">
            <v>4512.08</v>
          </cell>
          <cell r="T6">
            <v>4782.52</v>
          </cell>
          <cell r="U6">
            <v>5055.75</v>
          </cell>
          <cell r="V6">
            <v>5327.62</v>
          </cell>
          <cell r="W6">
            <v>5599.25</v>
          </cell>
          <cell r="X6">
            <v>5887.35</v>
          </cell>
          <cell r="Y6">
            <v>6179.52</v>
          </cell>
          <cell r="Z6">
            <v>6469.96</v>
          </cell>
          <cell r="AA6">
            <v>6753.68</v>
          </cell>
          <cell r="AB6">
            <v>7031.86</v>
          </cell>
          <cell r="AC6">
            <v>7301.56</v>
          </cell>
          <cell r="AD6">
            <v>7563.26</v>
          </cell>
          <cell r="AE6">
            <v>7825.81</v>
          </cell>
          <cell r="AF6">
            <v>8082.61</v>
          </cell>
          <cell r="AG6">
            <v>8334.18</v>
          </cell>
          <cell r="AH6">
            <v>8585.53</v>
          </cell>
          <cell r="AI6">
            <v>8836.5</v>
          </cell>
          <cell r="AJ6">
            <v>9081.55</v>
          </cell>
          <cell r="AK6">
            <v>9325.34</v>
          </cell>
          <cell r="AL6">
            <v>9565.4</v>
          </cell>
          <cell r="AM6">
            <v>9800.2</v>
          </cell>
          <cell r="AN6">
            <v>10028.07</v>
          </cell>
          <cell r="AO6">
            <v>10246.3</v>
          </cell>
          <cell r="AP6">
            <v>10453.68</v>
          </cell>
          <cell r="AQ6">
            <v>10643.43</v>
          </cell>
          <cell r="AR6">
            <v>10827.07</v>
          </cell>
          <cell r="AS6">
            <v>11008.61</v>
          </cell>
          <cell r="AT6">
            <v>11188.38</v>
          </cell>
          <cell r="AU6">
            <v>11370.07</v>
          </cell>
          <cell r="AV6">
            <v>11559.26</v>
          </cell>
          <cell r="AW6">
            <v>11752.81</v>
          </cell>
          <cell r="AX6">
            <v>11950.89</v>
          </cell>
          <cell r="AY6">
            <v>12157.47</v>
          </cell>
          <cell r="AZ6">
            <v>12376.03</v>
          </cell>
          <cell r="BA6">
            <v>12609.14</v>
          </cell>
          <cell r="BB6">
            <v>12854.46</v>
          </cell>
          <cell r="BC6">
            <v>13109.99</v>
          </cell>
          <cell r="BD6">
            <v>13370.99</v>
          </cell>
          <cell r="BE6">
            <v>13625.8</v>
          </cell>
          <cell r="BF6">
            <v>13879.84</v>
          </cell>
          <cell r="BG6">
            <v>14141.88</v>
          </cell>
          <cell r="BH6">
            <v>14403.24</v>
          </cell>
          <cell r="BI6">
            <v>14666.84</v>
          </cell>
          <cell r="BJ6">
            <v>14932.8</v>
          </cell>
          <cell r="BK6">
            <v>15200</v>
          </cell>
          <cell r="BL6">
            <v>15459.83</v>
          </cell>
          <cell r="BM6">
            <v>15711.47</v>
          </cell>
          <cell r="BN6">
            <v>15970.26</v>
          </cell>
          <cell r="BO6">
            <v>16231.4</v>
          </cell>
          <cell r="BP6">
            <v>16491.29</v>
          </cell>
          <cell r="BQ6">
            <v>16748.63</v>
          </cell>
          <cell r="BR6">
            <v>17003.3</v>
          </cell>
          <cell r="BS6">
            <v>17254.31</v>
          </cell>
          <cell r="BT6">
            <v>17499.01</v>
          </cell>
          <cell r="BU6">
            <v>17745.3</v>
          </cell>
          <cell r="BV6">
            <v>17991.76</v>
          </cell>
          <cell r="BW6">
            <v>18239.36</v>
          </cell>
          <cell r="BX6">
            <v>18486.87</v>
          </cell>
          <cell r="BY6">
            <v>18731.7</v>
          </cell>
          <cell r="BZ6">
            <v>18972.11</v>
          </cell>
          <cell r="CA6">
            <v>19208.57</v>
          </cell>
          <cell r="CB6">
            <v>19453.34</v>
          </cell>
          <cell r="CC6">
            <v>19697.63</v>
          </cell>
          <cell r="CD6">
            <v>19938.82</v>
          </cell>
          <cell r="CE6">
            <v>20180.84</v>
          </cell>
          <cell r="CF6">
            <v>20422.6</v>
          </cell>
          <cell r="CG6">
            <v>20661.86</v>
          </cell>
          <cell r="CH6">
            <v>20897.1</v>
          </cell>
          <cell r="CI6">
            <v>21138.83</v>
          </cell>
          <cell r="CJ6">
            <v>21381.23</v>
          </cell>
          <cell r="CK6">
            <v>21625.5</v>
          </cell>
          <cell r="CL6">
            <v>21867.86</v>
          </cell>
          <cell r="CM6">
            <v>22109.51</v>
          </cell>
          <cell r="CN6">
            <v>22348.11</v>
          </cell>
          <cell r="CO6">
            <v>22581.45</v>
          </cell>
          <cell r="CP6">
            <v>22818.7</v>
          </cell>
          <cell r="CQ6">
            <v>23058.14</v>
          </cell>
          <cell r="CR6">
            <v>23297.57</v>
          </cell>
          <cell r="CS6">
            <v>23515.11</v>
          </cell>
          <cell r="CT6">
            <v>23737.79</v>
          </cell>
          <cell r="CU6">
            <v>23969.35</v>
          </cell>
          <cell r="CV6">
            <v>24205.38</v>
          </cell>
          <cell r="CW6">
            <v>24443.04</v>
          </cell>
          <cell r="CX6">
            <v>24680.03</v>
          </cell>
          <cell r="CY6">
            <v>24917.18</v>
          </cell>
          <cell r="CZ6">
            <v>25155.29</v>
          </cell>
          <cell r="DA6">
            <v>25394.76</v>
          </cell>
          <cell r="DB6">
            <v>25633.12</v>
          </cell>
          <cell r="DC6">
            <v>25866.48</v>
          </cell>
          <cell r="DD6">
            <v>26106.99</v>
          </cell>
          <cell r="DE6">
            <v>26348.07</v>
          </cell>
          <cell r="DF6">
            <v>26590.3</v>
          </cell>
          <cell r="DG6">
            <v>26831.37</v>
          </cell>
          <cell r="DH6">
            <v>27070.85</v>
          </cell>
          <cell r="DI6">
            <v>27308.16</v>
          </cell>
          <cell r="DJ6">
            <v>27538.77</v>
          </cell>
          <cell r="DK6">
            <v>27775.27</v>
          </cell>
          <cell r="DL6">
            <v>28013.37</v>
          </cell>
          <cell r="DM6">
            <v>28252.25</v>
          </cell>
          <cell r="DN6">
            <v>28491.94</v>
          </cell>
          <cell r="DO6">
            <v>28733.97</v>
          </cell>
          <cell r="DP6">
            <v>28975.76</v>
          </cell>
          <cell r="DQ6">
            <v>29216.56</v>
          </cell>
          <cell r="DR6">
            <v>29458.05</v>
          </cell>
          <cell r="DS6">
            <v>29694.12</v>
          </cell>
          <cell r="DT6">
            <v>29902.22</v>
          </cell>
          <cell r="DU6">
            <v>30111.91</v>
          </cell>
          <cell r="DV6">
            <v>30331.96</v>
          </cell>
          <cell r="DW6">
            <v>30557.82</v>
          </cell>
          <cell r="DX6">
            <v>30788.04</v>
          </cell>
          <cell r="DY6">
            <v>31026.11</v>
          </cell>
          <cell r="DZ6">
            <v>31266.84</v>
          </cell>
          <cell r="EA6">
            <v>31508.34</v>
          </cell>
          <cell r="EB6">
            <v>31748.52</v>
          </cell>
          <cell r="EC6">
            <v>31989.93</v>
          </cell>
          <cell r="ED6">
            <v>32231.51</v>
          </cell>
          <cell r="EE6">
            <v>32466.34</v>
          </cell>
          <cell r="EF6">
            <v>32706.01</v>
          </cell>
          <cell r="EG6">
            <v>32948.5</v>
          </cell>
          <cell r="EH6">
            <v>33190.6</v>
          </cell>
          <cell r="EI6">
            <v>33433.27</v>
          </cell>
          <cell r="EJ6">
            <v>33681.47</v>
          </cell>
          <cell r="EK6">
            <v>33929.4</v>
          </cell>
          <cell r="EL6">
            <v>34169.82</v>
          </cell>
          <cell r="EM6">
            <v>34414.68</v>
          </cell>
          <cell r="EN6">
            <v>34662.17</v>
          </cell>
          <cell r="EO6">
            <v>34911.87</v>
          </cell>
          <cell r="EP6">
            <v>35165.5</v>
          </cell>
          <cell r="EQ6">
            <v>35420.76</v>
          </cell>
          <cell r="ER6">
            <v>35673.12</v>
          </cell>
          <cell r="ES6">
            <v>35920.58</v>
          </cell>
          <cell r="ET6">
            <v>36170.49</v>
          </cell>
          <cell r="EU6">
            <v>36418.71</v>
          </cell>
          <cell r="EV6">
            <v>36665.05</v>
          </cell>
          <cell r="EW6">
            <v>36911.26</v>
          </cell>
          <cell r="EX6">
            <v>37159.27</v>
          </cell>
          <cell r="EY6">
            <v>37400.96</v>
          </cell>
          <cell r="EZ6">
            <v>37639.85</v>
          </cell>
          <cell r="FA6">
            <v>37888.31</v>
          </cell>
          <cell r="FB6">
            <v>38137.44</v>
          </cell>
          <cell r="FC6">
            <v>38385.38</v>
          </cell>
          <cell r="FD6">
            <v>38634.28</v>
          </cell>
          <cell r="FE6">
            <v>38883.37</v>
          </cell>
          <cell r="FF6">
            <v>39131.31</v>
          </cell>
          <cell r="FG6">
            <v>39373.75</v>
          </cell>
          <cell r="FH6">
            <v>39605.97</v>
          </cell>
          <cell r="FI6">
            <v>39862.3</v>
          </cell>
          <cell r="FJ6">
            <v>40133.59</v>
          </cell>
          <cell r="FK6">
            <v>40413.15</v>
          </cell>
          <cell r="FL6">
            <v>40694.69</v>
          </cell>
          <cell r="FM6">
            <v>40973.46</v>
          </cell>
          <cell r="FN6">
            <v>41240</v>
          </cell>
          <cell r="FO6">
            <v>41512.63</v>
          </cell>
          <cell r="FP6">
            <v>41788.78</v>
          </cell>
          <cell r="FQ6">
            <v>42065.46</v>
          </cell>
          <cell r="FR6">
            <v>42346.1</v>
          </cell>
          <cell r="FS6">
            <v>42626.32</v>
          </cell>
          <cell r="FT6">
            <v>42905.04</v>
          </cell>
          <cell r="FU6">
            <v>43174.98</v>
          </cell>
          <cell r="FV6">
            <v>43449.06</v>
          </cell>
          <cell r="FW6">
            <v>43722.83</v>
          </cell>
          <cell r="FX6">
            <v>43996.53</v>
          </cell>
          <cell r="FY6">
            <v>44269.78</v>
          </cell>
          <cell r="FZ6">
            <v>44545.97</v>
          </cell>
          <cell r="GA6">
            <v>44819.88</v>
          </cell>
          <cell r="GB6">
            <v>45089.97</v>
          </cell>
          <cell r="GC6">
            <v>45362.95</v>
          </cell>
          <cell r="GD6">
            <v>45633.59</v>
          </cell>
          <cell r="GE6">
            <v>45909.31</v>
          </cell>
          <cell r="GF6">
            <v>46191.98</v>
          </cell>
          <cell r="GG6">
            <v>46482.5</v>
          </cell>
          <cell r="GH6">
            <v>46774.17</v>
          </cell>
          <cell r="GI6">
            <v>47063.8</v>
          </cell>
          <cell r="GJ6">
            <v>47362.06</v>
          </cell>
          <cell r="GK6">
            <v>47659.21</v>
          </cell>
          <cell r="GL6">
            <v>47954.3</v>
          </cell>
          <cell r="GM6">
            <v>48246.34</v>
          </cell>
          <cell r="GN6">
            <v>48539.86</v>
          </cell>
          <cell r="GO6">
            <v>48826.12</v>
          </cell>
          <cell r="GP6">
            <v>49104.54</v>
          </cell>
          <cell r="GQ6">
            <v>49395.51</v>
          </cell>
          <cell r="GR6">
            <v>49692.72</v>
          </cell>
          <cell r="GS6">
            <v>49991.5</v>
          </cell>
          <cell r="GT6">
            <v>50294.02</v>
          </cell>
          <cell r="GU6">
            <v>50601.02</v>
          </cell>
          <cell r="GV6">
            <v>50902.32</v>
          </cell>
          <cell r="GW6">
            <v>51206.35</v>
          </cell>
          <cell r="GX6">
            <v>51524.27</v>
          </cell>
          <cell r="GY6">
            <v>51848.91</v>
          </cell>
          <cell r="GZ6">
            <v>52174.19</v>
          </cell>
          <cell r="HA6">
            <v>52488.83</v>
          </cell>
          <cell r="HB6">
            <v>52798.7</v>
          </cell>
          <cell r="HC6">
            <v>53096.51</v>
          </cell>
          <cell r="HD6">
            <v>53383.54</v>
          </cell>
          <cell r="HE6">
            <v>53681.57</v>
          </cell>
          <cell r="HF6">
            <v>53981.97</v>
          </cell>
          <cell r="HG6">
            <v>54286.46</v>
          </cell>
          <cell r="HH6">
            <v>54595.4</v>
          </cell>
          <cell r="HI6">
            <v>54911.56</v>
          </cell>
          <cell r="HJ6">
            <v>55227.5</v>
          </cell>
          <cell r="HK6">
            <v>55534.91</v>
          </cell>
          <cell r="HL6">
            <v>55850.27</v>
          </cell>
          <cell r="HM6">
            <v>56166.99</v>
          </cell>
          <cell r="HN6">
            <v>56483.67</v>
          </cell>
          <cell r="HO6">
            <v>56802.24</v>
          </cell>
          <cell r="HP6">
            <v>57120.41</v>
          </cell>
          <cell r="HQ6">
            <v>57431.87</v>
          </cell>
          <cell r="HR6">
            <v>57734.05</v>
          </cell>
          <cell r="HS6">
            <v>58043.71</v>
          </cell>
          <cell r="HT6">
            <v>58351.25</v>
          </cell>
          <cell r="HU6">
            <v>58655.92</v>
          </cell>
          <cell r="HV6">
            <v>58958.16</v>
          </cell>
          <cell r="HW6">
            <v>59258.68</v>
          </cell>
          <cell r="HX6">
            <v>59555.57</v>
          </cell>
          <cell r="HY6">
            <v>59841.99</v>
          </cell>
          <cell r="HZ6">
            <v>60134.53</v>
          </cell>
          <cell r="IA6">
            <v>60430.34</v>
          </cell>
          <cell r="IB6">
            <v>60726.97</v>
          </cell>
          <cell r="IC6">
            <v>61031.87</v>
          </cell>
          <cell r="ID6">
            <v>61344.91</v>
          </cell>
          <cell r="IE6">
            <v>61656.93</v>
          </cell>
          <cell r="IF6">
            <v>61961.47</v>
          </cell>
          <cell r="IG6">
            <v>62268.08</v>
          </cell>
          <cell r="IH6">
            <v>62567</v>
          </cell>
          <cell r="II6">
            <v>62861.41</v>
          </cell>
          <cell r="IJ6">
            <v>63157.22</v>
          </cell>
          <cell r="IK6">
            <v>63458.7</v>
          </cell>
          <cell r="IL6">
            <v>63759.81</v>
          </cell>
          <cell r="IM6">
            <v>64057.13</v>
          </cell>
          <cell r="IN6">
            <v>64358.05</v>
          </cell>
          <cell r="IO6">
            <v>64654.38</v>
          </cell>
          <cell r="IP6">
            <v>64955.84</v>
          </cell>
          <cell r="IQ6">
            <v>65257.47</v>
          </cell>
          <cell r="IR6">
            <v>65550.12</v>
          </cell>
          <cell r="IS6">
            <v>65836.91</v>
          </cell>
          <cell r="IT6">
            <v>66121</v>
          </cell>
          <cell r="IU6">
            <v>66417.39</v>
          </cell>
          <cell r="IV6">
            <v>66709.39</v>
          </cell>
          <cell r="IW6">
            <v>66994.65</v>
          </cell>
          <cell r="IX6">
            <v>67279.06</v>
          </cell>
          <cell r="IY6">
            <v>67565.6</v>
          </cell>
          <cell r="IZ6">
            <v>67848.4</v>
          </cell>
          <cell r="JA6">
            <v>68118.77</v>
          </cell>
          <cell r="JB6">
            <v>68376.07</v>
          </cell>
          <cell r="JC6">
            <v>68621.76</v>
          </cell>
          <cell r="JD6">
            <v>68895.13</v>
          </cell>
          <cell r="JE6">
            <v>69179.61</v>
          </cell>
          <cell r="JF6">
            <v>69465.2</v>
          </cell>
          <cell r="JG6">
            <v>69731.54</v>
          </cell>
          <cell r="JH6">
            <v>69982.05</v>
          </cell>
          <cell r="JI6">
            <v>70231.97</v>
          </cell>
          <cell r="JJ6">
            <v>70484.14</v>
          </cell>
          <cell r="JK6">
            <v>70740.96</v>
          </cell>
          <cell r="JL6">
            <v>71001.83</v>
          </cell>
          <cell r="JM6">
            <v>71265.42</v>
          </cell>
          <cell r="JN6">
            <v>71529.03</v>
          </cell>
          <cell r="JO6">
            <v>71794.53</v>
          </cell>
          <cell r="JP6">
            <v>72049.38</v>
          </cell>
          <cell r="JQ6">
            <v>72268.06</v>
          </cell>
          <cell r="JR6">
            <v>72477.9</v>
          </cell>
          <cell r="JS6">
            <v>72692.26</v>
          </cell>
          <cell r="JT6">
            <v>72915.73</v>
          </cell>
          <cell r="JU6">
            <v>73147.69</v>
          </cell>
          <cell r="JV6">
            <v>73384.79</v>
          </cell>
          <cell r="JW6">
            <v>73627.16</v>
          </cell>
          <cell r="JX6">
            <v>73872.81</v>
          </cell>
        </row>
        <row r="7">
          <cell r="C7">
            <v>0.0698</v>
          </cell>
          <cell r="D7">
            <v>0.0963</v>
          </cell>
          <cell r="E7">
            <v>0.1016</v>
          </cell>
          <cell r="F7">
            <v>0.1064</v>
          </cell>
          <cell r="G7">
            <v>0.1104</v>
          </cell>
          <cell r="H7">
            <v>0.1152</v>
          </cell>
          <cell r="I7">
            <v>0.1205</v>
          </cell>
          <cell r="J7">
            <v>0.1322</v>
          </cell>
          <cell r="K7">
            <v>0.1389</v>
          </cell>
          <cell r="L7">
            <v>0.1459</v>
          </cell>
          <cell r="M7">
            <v>0.1511</v>
          </cell>
          <cell r="N7">
            <v>0.1564</v>
          </cell>
          <cell r="O7">
            <v>0.1601</v>
          </cell>
          <cell r="P7">
            <v>0.1608</v>
          </cell>
          <cell r="Q7">
            <v>0.1631</v>
          </cell>
          <cell r="R7">
            <v>0.1658</v>
          </cell>
          <cell r="S7">
            <v>0.1693</v>
          </cell>
          <cell r="T7">
            <v>0.1752</v>
          </cell>
          <cell r="U7">
            <v>0.1839</v>
          </cell>
          <cell r="V7">
            <v>0.1926</v>
          </cell>
          <cell r="W7">
            <v>0.202</v>
          </cell>
          <cell r="X7">
            <v>0.2168</v>
          </cell>
          <cell r="Y7">
            <v>0.2305</v>
          </cell>
          <cell r="Z7">
            <v>0.241</v>
          </cell>
          <cell r="AA7">
            <v>0.2484</v>
          </cell>
          <cell r="AB7">
            <v>0.2538</v>
          </cell>
          <cell r="AC7">
            <v>0.2567</v>
          </cell>
          <cell r="AD7">
            <v>0.2567</v>
          </cell>
          <cell r="AE7">
            <v>0.2563</v>
          </cell>
          <cell r="AF7">
            <v>0.2548</v>
          </cell>
          <cell r="AG7">
            <v>0.2527</v>
          </cell>
          <cell r="AH7">
            <v>0.2493</v>
          </cell>
          <cell r="AI7">
            <v>0.2445</v>
          </cell>
          <cell r="AJ7">
            <v>0.2389</v>
          </cell>
          <cell r="AK7">
            <v>0.2338</v>
          </cell>
          <cell r="AL7">
            <v>0.2297</v>
          </cell>
          <cell r="AM7">
            <v>0.2236</v>
          </cell>
          <cell r="AN7">
            <v>0.2163</v>
          </cell>
          <cell r="AO7">
            <v>0.2076</v>
          </cell>
          <cell r="AP7">
            <v>0.1977</v>
          </cell>
          <cell r="AQ7">
            <v>0.1861</v>
          </cell>
          <cell r="AR7">
            <v>0.175</v>
          </cell>
          <cell r="AS7">
            <v>0.1648</v>
          </cell>
          <cell r="AT7">
            <v>0.1535</v>
          </cell>
          <cell r="AU7">
            <v>0.1427</v>
          </cell>
          <cell r="AV7">
            <v>0.1333</v>
          </cell>
          <cell r="AW7">
            <v>0.1248</v>
          </cell>
          <cell r="AX7">
            <v>0.1174</v>
          </cell>
          <cell r="AY7">
            <v>0.1116</v>
          </cell>
          <cell r="AZ7">
            <v>0.1078</v>
          </cell>
          <cell r="BA7">
            <v>0.1047</v>
          </cell>
          <cell r="BB7">
            <v>0.1022</v>
          </cell>
          <cell r="BC7">
            <v>0.1005</v>
          </cell>
          <cell r="BD7">
            <v>0.0993</v>
          </cell>
          <cell r="BE7">
            <v>0.0978</v>
          </cell>
          <cell r="BF7">
            <v>0.0967</v>
          </cell>
          <cell r="BG7">
            <v>0.0969</v>
          </cell>
          <cell r="BH7">
            <v>0.0967</v>
          </cell>
          <cell r="BI7">
            <v>0.0968</v>
          </cell>
          <cell r="BJ7">
            <v>0.1166</v>
          </cell>
          <cell r="BK7">
            <v>0.1169</v>
          </cell>
          <cell r="BL7">
            <v>0.1164</v>
          </cell>
          <cell r="BM7">
            <v>0.1153</v>
          </cell>
          <cell r="BN7">
            <v>0.1152</v>
          </cell>
          <cell r="BO7">
            <v>0.1158</v>
          </cell>
          <cell r="BP7">
            <v>0.1161</v>
          </cell>
          <cell r="BQ7">
            <v>0.1161</v>
          </cell>
          <cell r="BR7">
            <v>0.1159</v>
          </cell>
          <cell r="BS7">
            <v>0.1156</v>
          </cell>
          <cell r="BT7">
            <v>0.1149</v>
          </cell>
          <cell r="BU7">
            <v>0.1144</v>
          </cell>
          <cell r="BV7">
            <v>0.1142</v>
          </cell>
          <cell r="BW7">
            <v>0.1136</v>
          </cell>
          <cell r="BX7">
            <v>0.1131</v>
          </cell>
          <cell r="BY7">
            <v>0.1123</v>
          </cell>
          <cell r="BZ7">
            <v>0.111</v>
          </cell>
          <cell r="CA7">
            <v>0.1094</v>
          </cell>
          <cell r="CB7">
            <v>0.1084</v>
          </cell>
          <cell r="CC7">
            <v>0.1079</v>
          </cell>
          <cell r="CD7">
            <v>0.1069</v>
          </cell>
          <cell r="CE7">
            <v>0.1059</v>
          </cell>
          <cell r="CF7">
            <v>0.1049</v>
          </cell>
          <cell r="CG7">
            <v>0.1037</v>
          </cell>
          <cell r="CH7">
            <v>0.1023</v>
          </cell>
          <cell r="CI7">
            <v>0.1015</v>
          </cell>
          <cell r="CJ7">
            <v>0.1012</v>
          </cell>
          <cell r="CK7">
            <v>0.1008</v>
          </cell>
          <cell r="CL7">
            <v>0.1002</v>
          </cell>
          <cell r="CM7">
            <v>0.0997</v>
          </cell>
          <cell r="CN7">
            <v>0.0991</v>
          </cell>
          <cell r="CO7">
            <v>0.0984</v>
          </cell>
          <cell r="CP7">
            <v>0.0982</v>
          </cell>
          <cell r="CQ7">
            <v>0.0982</v>
          </cell>
          <cell r="CR7">
            <v>0.098</v>
          </cell>
          <cell r="CS7">
            <v>0.0969</v>
          </cell>
          <cell r="CT7">
            <v>0.0966</v>
          </cell>
          <cell r="CU7">
            <v>0.0962</v>
          </cell>
          <cell r="CV7">
            <v>0.0957</v>
          </cell>
          <cell r="CW7">
            <v>0.0955</v>
          </cell>
          <cell r="CX7">
            <v>0.0955</v>
          </cell>
          <cell r="CY7">
            <v>0.0953</v>
          </cell>
          <cell r="CZ7">
            <v>0.0949</v>
          </cell>
          <cell r="DA7">
            <v>0.0947</v>
          </cell>
          <cell r="DB7">
            <v>0.0943</v>
          </cell>
          <cell r="DC7">
            <v>0.0937</v>
          </cell>
          <cell r="DD7">
            <v>0.0937</v>
          </cell>
          <cell r="DE7">
            <v>0.0939</v>
          </cell>
          <cell r="DF7">
            <v>0.0937</v>
          </cell>
          <cell r="DG7">
            <v>0.0933</v>
          </cell>
          <cell r="DH7">
            <v>0.0929</v>
          </cell>
          <cell r="DI7">
            <v>0.0924</v>
          </cell>
          <cell r="DJ7">
            <v>0.0918</v>
          </cell>
          <cell r="DK7">
            <v>0.0915</v>
          </cell>
          <cell r="DL7">
            <v>0.0913</v>
          </cell>
          <cell r="DM7">
            <v>0.091</v>
          </cell>
          <cell r="DN7">
            <v>0.0908</v>
          </cell>
          <cell r="DO7">
            <v>0.0908</v>
          </cell>
          <cell r="DP7">
            <v>0.0907</v>
          </cell>
          <cell r="DQ7">
            <v>0.0906</v>
          </cell>
          <cell r="DR7">
            <v>0.0908</v>
          </cell>
          <cell r="DS7">
            <v>0.0913</v>
          </cell>
          <cell r="DT7">
            <v>0.0913</v>
          </cell>
          <cell r="DU7">
            <v>0.0911</v>
          </cell>
          <cell r="DV7">
            <v>0.0908</v>
          </cell>
          <cell r="DW7">
            <v>0.0902</v>
          </cell>
          <cell r="DX7">
            <v>0.0897</v>
          </cell>
          <cell r="DY7">
            <v>0.0894</v>
          </cell>
          <cell r="DZ7">
            <v>0.0895</v>
          </cell>
          <cell r="EA7">
            <v>0.0895</v>
          </cell>
          <cell r="EB7">
            <v>0.0894</v>
          </cell>
          <cell r="EC7">
            <v>0.0894</v>
          </cell>
          <cell r="ED7">
            <v>0.0894</v>
          </cell>
          <cell r="EE7">
            <v>0.0891</v>
          </cell>
          <cell r="EF7">
            <v>0.0891</v>
          </cell>
          <cell r="EG7">
            <v>0.0893</v>
          </cell>
          <cell r="EH7">
            <v>0.0892</v>
          </cell>
          <cell r="EI7">
            <v>0.0889</v>
          </cell>
          <cell r="EJ7">
            <v>0.0887</v>
          </cell>
          <cell r="EK7">
            <v>0.0885</v>
          </cell>
          <cell r="EL7">
            <v>0.088</v>
          </cell>
          <cell r="EM7">
            <v>0.0877</v>
          </cell>
          <cell r="EN7">
            <v>0.0878</v>
          </cell>
          <cell r="EO7">
            <v>0.0878</v>
          </cell>
          <cell r="EP7">
            <v>0.088</v>
          </cell>
          <cell r="EQ7">
            <v>0.0882</v>
          </cell>
          <cell r="ER7">
            <v>0.0883</v>
          </cell>
          <cell r="ES7">
            <v>0.0882</v>
          </cell>
          <cell r="ET7">
            <v>0.0881</v>
          </cell>
          <cell r="EU7">
            <v>0.088</v>
          </cell>
          <cell r="EV7">
            <v>0.0876</v>
          </cell>
          <cell r="EW7">
            <v>0.087</v>
          </cell>
          <cell r="EX7">
            <v>0.0864</v>
          </cell>
          <cell r="EY7">
            <v>0.0858</v>
          </cell>
          <cell r="EZ7">
            <v>0.085</v>
          </cell>
          <cell r="FA7">
            <v>0.0846</v>
          </cell>
          <cell r="FB7">
            <v>0.0845</v>
          </cell>
          <cell r="FC7">
            <v>0.0842</v>
          </cell>
          <cell r="FD7">
            <v>0.0839</v>
          </cell>
          <cell r="FE7">
            <v>0.0835</v>
          </cell>
          <cell r="FF7">
            <v>0.083</v>
          </cell>
          <cell r="FG7">
            <v>0.0823</v>
          </cell>
          <cell r="FH7">
            <v>0.0813</v>
          </cell>
          <cell r="FI7">
            <v>0.0811</v>
          </cell>
          <cell r="FJ7">
            <v>0.0811</v>
          </cell>
          <cell r="FK7">
            <v>0.0813</v>
          </cell>
          <cell r="FL7">
            <v>0.0815</v>
          </cell>
          <cell r="FM7">
            <v>0.0816</v>
          </cell>
          <cell r="FN7">
            <v>0.0814</v>
          </cell>
          <cell r="FO7">
            <v>0.0815</v>
          </cell>
          <cell r="FP7">
            <v>0.0819</v>
          </cell>
          <cell r="FQ7">
            <v>0.082</v>
          </cell>
          <cell r="FR7">
            <v>0.0821</v>
          </cell>
          <cell r="FS7">
            <v>0.0821</v>
          </cell>
          <cell r="FT7">
            <v>0.0827</v>
          </cell>
          <cell r="FU7">
            <v>0.0829</v>
          </cell>
          <cell r="FV7">
            <v>0.083</v>
          </cell>
          <cell r="FW7">
            <v>0.083</v>
          </cell>
          <cell r="FX7">
            <v>0.0829</v>
          </cell>
          <cell r="FY7">
            <v>0.0825</v>
          </cell>
          <cell r="FZ7">
            <v>0.0821</v>
          </cell>
          <cell r="GA7">
            <v>0.0816</v>
          </cell>
          <cell r="GB7">
            <v>0.0811</v>
          </cell>
          <cell r="GC7">
            <v>0.0807</v>
          </cell>
          <cell r="GD7">
            <v>0.0803</v>
          </cell>
          <cell r="GE7">
            <v>0.0799</v>
          </cell>
          <cell r="GF7">
            <v>0.0797</v>
          </cell>
          <cell r="GG7">
            <v>0.0796</v>
          </cell>
          <cell r="GH7">
            <v>0.0792</v>
          </cell>
          <cell r="GI7">
            <v>0.0788</v>
          </cell>
          <cell r="GJ7">
            <v>0.0785</v>
          </cell>
          <cell r="GK7">
            <v>0.0783</v>
          </cell>
          <cell r="GL7">
            <v>0.0778</v>
          </cell>
          <cell r="GM7">
            <v>0.077</v>
          </cell>
          <cell r="GN7">
            <v>0.0764</v>
          </cell>
          <cell r="GO7">
            <v>0.0758</v>
          </cell>
          <cell r="GP7">
            <v>0.0751</v>
          </cell>
          <cell r="GQ7">
            <v>0.0748</v>
          </cell>
          <cell r="GR7">
            <v>0.0749</v>
          </cell>
          <cell r="GS7">
            <v>0.0749</v>
          </cell>
          <cell r="GT7">
            <v>0.0749</v>
          </cell>
          <cell r="GU7">
            <v>0.075</v>
          </cell>
          <cell r="GV7">
            <v>0.0749</v>
          </cell>
          <cell r="GW7">
            <v>0.075</v>
          </cell>
          <cell r="GX7">
            <v>0.0755</v>
          </cell>
          <cell r="GY7">
            <v>0.0761</v>
          </cell>
          <cell r="GZ7">
            <v>0.0764</v>
          </cell>
          <cell r="HA7">
            <v>0.0764</v>
          </cell>
          <cell r="HB7">
            <v>0.0764</v>
          </cell>
          <cell r="HC7">
            <v>0.0762</v>
          </cell>
          <cell r="HD7">
            <v>0.0759</v>
          </cell>
          <cell r="HE7">
            <v>0.0761</v>
          </cell>
          <cell r="HF7">
            <v>0.0765</v>
          </cell>
          <cell r="HG7">
            <v>0.0767</v>
          </cell>
          <cell r="HH7">
            <v>0.077</v>
          </cell>
          <cell r="HI7">
            <v>0.0722</v>
          </cell>
          <cell r="HJ7">
            <v>0.0773</v>
          </cell>
          <cell r="HK7">
            <v>0.077</v>
          </cell>
          <cell r="HL7">
            <v>0.0769</v>
          </cell>
          <cell r="HM7">
            <v>0.0772</v>
          </cell>
          <cell r="HN7">
            <v>0.0773</v>
          </cell>
          <cell r="HO7">
            <v>0.0775</v>
          </cell>
          <cell r="HP7">
            <v>0.0775</v>
          </cell>
          <cell r="HQ7">
            <v>0.0774</v>
          </cell>
          <cell r="HR7">
            <v>0.0772</v>
          </cell>
          <cell r="HS7">
            <v>0.0772</v>
          </cell>
          <cell r="HT7">
            <v>0.0774</v>
          </cell>
          <cell r="HU7">
            <v>0.0772</v>
          </cell>
          <cell r="HV7">
            <v>0.077</v>
          </cell>
          <cell r="HW7">
            <v>0.0767</v>
          </cell>
          <cell r="HX7">
            <v>0.0763</v>
          </cell>
          <cell r="HY7">
            <v>0.0757</v>
          </cell>
          <cell r="HZ7">
            <v>0.0754</v>
          </cell>
          <cell r="IA7">
            <v>0.0754</v>
          </cell>
          <cell r="IB7">
            <v>0.0753</v>
          </cell>
          <cell r="IC7">
            <v>0.0753</v>
          </cell>
          <cell r="ID7">
            <v>0.0755</v>
          </cell>
          <cell r="IE7">
            <v>0.0759</v>
          </cell>
          <cell r="IF7">
            <v>0.076</v>
          </cell>
          <cell r="IG7">
            <v>0.0764</v>
          </cell>
          <cell r="IH7">
            <v>0.0769</v>
          </cell>
          <cell r="II7">
            <v>0.0773</v>
          </cell>
          <cell r="IJ7">
            <v>0.0777</v>
          </cell>
          <cell r="IK7">
            <v>0.0783</v>
          </cell>
          <cell r="IL7">
            <v>0.0789</v>
          </cell>
          <cell r="IM7">
            <v>0.0794</v>
          </cell>
          <cell r="IN7">
            <v>0.08</v>
          </cell>
          <cell r="IO7">
            <v>0.0805</v>
          </cell>
          <cell r="IP7">
            <v>0.0808</v>
          </cell>
          <cell r="IQ7">
            <v>0.081</v>
          </cell>
          <cell r="IR7">
            <v>0.081</v>
          </cell>
          <cell r="IS7">
            <v>0.0809</v>
          </cell>
          <cell r="IT7">
            <v>0.0808</v>
          </cell>
          <cell r="IU7">
            <v>0.081</v>
          </cell>
          <cell r="IV7">
            <v>0.0813</v>
          </cell>
          <cell r="IW7">
            <v>0.0813</v>
          </cell>
          <cell r="IX7">
            <v>0.0814</v>
          </cell>
          <cell r="IY7">
            <v>0.0816</v>
          </cell>
          <cell r="IZ7">
            <v>0.0818</v>
          </cell>
          <cell r="JA7">
            <v>0.0817</v>
          </cell>
          <cell r="JB7">
            <v>0.0815</v>
          </cell>
          <cell r="JC7">
            <v>0.0811</v>
          </cell>
          <cell r="JD7">
            <v>0.0809</v>
          </cell>
          <cell r="JE7">
            <v>0.0809</v>
          </cell>
          <cell r="JF7">
            <v>0.0809</v>
          </cell>
          <cell r="JG7">
            <v>0.0808</v>
          </cell>
          <cell r="JH7">
            <v>0.0805</v>
          </cell>
          <cell r="JI7">
            <v>0.0803</v>
          </cell>
          <cell r="JJ7">
            <v>0.0801</v>
          </cell>
          <cell r="JK7">
            <v>0.0799</v>
          </cell>
          <cell r="JL7">
            <v>0.0797</v>
          </cell>
          <cell r="JM7">
            <v>0.0796</v>
          </cell>
          <cell r="JN7">
            <v>0.0796</v>
          </cell>
          <cell r="JO7">
            <v>0.08</v>
          </cell>
          <cell r="JP7">
            <v>0.0804</v>
          </cell>
          <cell r="JQ7">
            <v>0.0803</v>
          </cell>
          <cell r="JR7">
            <v>0.08</v>
          </cell>
          <cell r="JS7">
            <v>0.0797</v>
          </cell>
          <cell r="JT7">
            <v>0.0793</v>
          </cell>
          <cell r="JU7">
            <v>0.079</v>
          </cell>
          <cell r="JV7">
            <v>0.0788</v>
          </cell>
          <cell r="JW7">
            <v>0.0787</v>
          </cell>
          <cell r="JX7">
            <v>0.0786</v>
          </cell>
        </row>
        <row r="11">
          <cell r="C11">
            <v>10.77</v>
          </cell>
          <cell r="D11">
            <v>11.87</v>
          </cell>
          <cell r="E11">
            <v>12.01</v>
          </cell>
          <cell r="F11">
            <v>11.97</v>
          </cell>
          <cell r="G11">
            <v>11.86</v>
          </cell>
          <cell r="H11">
            <v>11.61</v>
          </cell>
          <cell r="I11">
            <v>11.62</v>
          </cell>
          <cell r="J11">
            <v>12.18</v>
          </cell>
          <cell r="K11">
            <v>11.98</v>
          </cell>
          <cell r="L11">
            <v>12.01</v>
          </cell>
          <cell r="M11">
            <v>11.93</v>
          </cell>
          <cell r="N11">
            <v>11.81</v>
          </cell>
          <cell r="O11">
            <v>11.44</v>
          </cell>
          <cell r="P11">
            <v>11.2</v>
          </cell>
          <cell r="Q11">
            <v>11.86</v>
          </cell>
          <cell r="R11">
            <v>12</v>
          </cell>
          <cell r="S11">
            <v>11.96</v>
          </cell>
          <cell r="T11">
            <v>12.06</v>
          </cell>
          <cell r="U11">
            <v>12.17</v>
          </cell>
          <cell r="V11">
            <v>12.07</v>
          </cell>
          <cell r="W11">
            <v>12.14</v>
          </cell>
          <cell r="X11">
            <v>13.06</v>
          </cell>
          <cell r="Y11">
            <v>13.15</v>
          </cell>
          <cell r="Z11">
            <v>12.95</v>
          </cell>
          <cell r="AA11">
            <v>12.58</v>
          </cell>
          <cell r="AB11">
            <v>12.28</v>
          </cell>
          <cell r="AC11">
            <v>11.96</v>
          </cell>
          <cell r="AD11">
            <v>11.59</v>
          </cell>
          <cell r="AE11">
            <v>11.7</v>
          </cell>
          <cell r="AF11">
            <v>11.42</v>
          </cell>
          <cell r="AG11">
            <v>11.14</v>
          </cell>
          <cell r="AH11">
            <v>11.26</v>
          </cell>
          <cell r="AI11">
            <v>11.17</v>
          </cell>
          <cell r="AJ11">
            <v>11.04</v>
          </cell>
          <cell r="AK11">
            <v>11.01</v>
          </cell>
          <cell r="AL11">
            <v>10.86</v>
          </cell>
          <cell r="AM11">
            <v>10.62</v>
          </cell>
          <cell r="AN11">
            <v>10.34</v>
          </cell>
          <cell r="AO11">
            <v>10.05</v>
          </cell>
          <cell r="AP11">
            <v>9.45</v>
          </cell>
          <cell r="AQ11">
            <v>8.62</v>
          </cell>
          <cell r="AR11">
            <v>8.37</v>
          </cell>
          <cell r="AS11">
            <v>8.2</v>
          </cell>
          <cell r="AT11">
            <v>8.13</v>
          </cell>
          <cell r="AU11">
            <v>8.21</v>
          </cell>
          <cell r="AV11">
            <v>8.65</v>
          </cell>
          <cell r="AW11">
            <v>8.74</v>
          </cell>
          <cell r="AX11">
            <v>8.89</v>
          </cell>
          <cell r="AY11">
            <v>9.25</v>
          </cell>
          <cell r="AZ11">
            <v>9.83</v>
          </cell>
          <cell r="BA11">
            <v>10.49</v>
          </cell>
          <cell r="BB11">
            <v>11.07</v>
          </cell>
          <cell r="BC11">
            <v>11.53</v>
          </cell>
          <cell r="BD11">
            <v>11.74</v>
          </cell>
          <cell r="BE11">
            <v>11.37</v>
          </cell>
          <cell r="BF11">
            <v>11.51</v>
          </cell>
          <cell r="BG11">
            <v>11.76</v>
          </cell>
          <cell r="BH11">
            <v>11.62</v>
          </cell>
          <cell r="BI11">
            <v>11.86</v>
          </cell>
          <cell r="BJ11">
            <v>11.89</v>
          </cell>
          <cell r="BK11">
            <v>11.85</v>
          </cell>
          <cell r="BL11">
            <v>11.37</v>
          </cell>
          <cell r="BM11">
            <v>11.09</v>
          </cell>
          <cell r="BN11">
            <v>11.62</v>
          </cell>
          <cell r="BO11">
            <v>11.65</v>
          </cell>
          <cell r="BP11">
            <v>11.54</v>
          </cell>
          <cell r="BQ11">
            <v>11.34</v>
          </cell>
          <cell r="BR11">
            <v>11.15</v>
          </cell>
          <cell r="BS11">
            <v>10.95</v>
          </cell>
          <cell r="BT11">
            <v>10.67</v>
          </cell>
          <cell r="BU11">
            <v>10.95</v>
          </cell>
          <cell r="BV11">
            <v>10.76</v>
          </cell>
          <cell r="BW11">
            <v>10.83</v>
          </cell>
          <cell r="BX11">
            <v>10.89</v>
          </cell>
          <cell r="BY11">
            <v>10.72</v>
          </cell>
          <cell r="BZ11">
            <v>10.46</v>
          </cell>
          <cell r="CA11">
            <v>10.28</v>
          </cell>
          <cell r="CB11">
            <v>10.9</v>
          </cell>
          <cell r="CC11">
            <v>10.69</v>
          </cell>
          <cell r="CD11">
            <v>10.56</v>
          </cell>
          <cell r="CE11">
            <v>10.51</v>
          </cell>
          <cell r="CF11">
            <v>10.53</v>
          </cell>
          <cell r="CG11">
            <v>10.44</v>
          </cell>
          <cell r="CH11">
            <v>10.17</v>
          </cell>
          <cell r="CI11">
            <v>10.68</v>
          </cell>
          <cell r="CJ11">
            <v>10.57</v>
          </cell>
          <cell r="CK11">
            <v>10.67</v>
          </cell>
          <cell r="CL11">
            <v>10.59</v>
          </cell>
          <cell r="CM11">
            <v>10.45</v>
          </cell>
          <cell r="CN11">
            <v>10.3</v>
          </cell>
          <cell r="CO11">
            <v>10.04</v>
          </cell>
          <cell r="CP11">
            <v>10.44</v>
          </cell>
          <cell r="CQ11">
            <v>10.54</v>
          </cell>
          <cell r="CR11">
            <v>10.5</v>
          </cell>
          <cell r="CS11">
            <v>9.3</v>
          </cell>
          <cell r="CT11">
            <v>9.76</v>
          </cell>
          <cell r="CU11">
            <v>10.11</v>
          </cell>
          <cell r="CV11">
            <v>10.41</v>
          </cell>
          <cell r="CW11">
            <v>10.46</v>
          </cell>
          <cell r="CX11">
            <v>10.29</v>
          </cell>
          <cell r="CY11">
            <v>10.33</v>
          </cell>
          <cell r="CZ11">
            <v>10.3</v>
          </cell>
          <cell r="DA11">
            <v>10.45</v>
          </cell>
          <cell r="DB11">
            <v>10.31</v>
          </cell>
          <cell r="DC11">
            <v>10.05</v>
          </cell>
          <cell r="DD11">
            <v>10.49</v>
          </cell>
          <cell r="DE11">
            <v>10.47</v>
          </cell>
          <cell r="DF11">
            <v>10.62</v>
          </cell>
          <cell r="DG11">
            <v>10.47</v>
          </cell>
          <cell r="DH11">
            <v>10.53</v>
          </cell>
          <cell r="DI11">
            <v>10.35</v>
          </cell>
          <cell r="DJ11">
            <v>9.97</v>
          </cell>
          <cell r="DK11">
            <v>10.43</v>
          </cell>
          <cell r="DL11">
            <v>10.38</v>
          </cell>
          <cell r="DM11">
            <v>10.37</v>
          </cell>
          <cell r="DN11">
            <v>10.49</v>
          </cell>
          <cell r="DO11">
            <v>10.5</v>
          </cell>
          <cell r="DP11">
            <v>10.54</v>
          </cell>
          <cell r="DQ11">
            <v>10.5</v>
          </cell>
          <cell r="DR11">
            <v>10.6</v>
          </cell>
          <cell r="DS11">
            <v>10.45</v>
          </cell>
          <cell r="DT11">
            <v>8.81</v>
          </cell>
          <cell r="DU11">
            <v>9.14</v>
          </cell>
          <cell r="DV11">
            <v>9.6</v>
          </cell>
          <cell r="DW11">
            <v>9.98</v>
          </cell>
          <cell r="DX11">
            <v>10.05</v>
          </cell>
          <cell r="DY11">
            <v>10.44</v>
          </cell>
          <cell r="DZ11">
            <v>10.5</v>
          </cell>
          <cell r="EA11">
            <v>10.55</v>
          </cell>
          <cell r="EB11">
            <v>10.54</v>
          </cell>
          <cell r="EC11">
            <v>10.52</v>
          </cell>
          <cell r="ED11">
            <v>10.55</v>
          </cell>
          <cell r="EE11">
            <v>10.13</v>
          </cell>
          <cell r="EF11">
            <v>10.49</v>
          </cell>
          <cell r="EG11">
            <v>10.54</v>
          </cell>
          <cell r="EH11">
            <v>10.58</v>
          </cell>
          <cell r="EI11">
            <v>10.62</v>
          </cell>
          <cell r="EJ11">
            <v>10.85</v>
          </cell>
          <cell r="EK11">
            <v>10.83</v>
          </cell>
          <cell r="EL11">
            <v>10.45</v>
          </cell>
          <cell r="EM11">
            <v>10.84</v>
          </cell>
          <cell r="EN11">
            <v>10.84</v>
          </cell>
          <cell r="EO11">
            <v>10.9</v>
          </cell>
          <cell r="EP11">
            <v>11.15</v>
          </cell>
          <cell r="EQ11">
            <v>11.24</v>
          </cell>
          <cell r="ER11">
            <v>11.02</v>
          </cell>
          <cell r="ES11">
            <v>10.65</v>
          </cell>
          <cell r="ET11">
            <v>11.03</v>
          </cell>
          <cell r="EU11">
            <v>10.86</v>
          </cell>
          <cell r="EV11">
            <v>10.79</v>
          </cell>
          <cell r="EW11">
            <v>10.84</v>
          </cell>
          <cell r="EX11">
            <v>10.86</v>
          </cell>
          <cell r="EY11">
            <v>10.53</v>
          </cell>
          <cell r="EZ11">
            <v>10.27</v>
          </cell>
          <cell r="FA11">
            <v>10.97</v>
          </cell>
          <cell r="FB11">
            <v>10.98</v>
          </cell>
          <cell r="FC11">
            <v>10.9</v>
          </cell>
          <cell r="FD11">
            <v>10.92</v>
          </cell>
          <cell r="FE11">
            <v>10.93</v>
          </cell>
          <cell r="FF11">
            <v>10.8</v>
          </cell>
          <cell r="FG11">
            <v>10.5</v>
          </cell>
          <cell r="FH11">
            <v>10.07</v>
          </cell>
          <cell r="FI11">
            <v>11.51</v>
          </cell>
          <cell r="FJ11">
            <v>11.93</v>
          </cell>
          <cell r="FK11">
            <v>12.27</v>
          </cell>
          <cell r="FL11">
            <v>12.37</v>
          </cell>
          <cell r="FM11">
            <v>12.16</v>
          </cell>
          <cell r="FN11">
            <v>11.53</v>
          </cell>
          <cell r="FO11">
            <v>11.99</v>
          </cell>
          <cell r="FP11">
            <v>12.16</v>
          </cell>
          <cell r="FQ11">
            <v>12.13</v>
          </cell>
          <cell r="FR11">
            <v>12.29</v>
          </cell>
          <cell r="FS11">
            <v>12.31</v>
          </cell>
          <cell r="FT11">
            <v>12.14</v>
          </cell>
          <cell r="FU11">
            <v>11.64</v>
          </cell>
          <cell r="FV11">
            <v>12.11</v>
          </cell>
          <cell r="FW11">
            <v>12</v>
          </cell>
          <cell r="FX11">
            <v>12.06</v>
          </cell>
          <cell r="FY11">
            <v>11.99</v>
          </cell>
          <cell r="FZ11">
            <v>12.17</v>
          </cell>
          <cell r="GA11">
            <v>11.95</v>
          </cell>
          <cell r="GB11">
            <v>11.69</v>
          </cell>
          <cell r="GC11">
            <v>12.17</v>
          </cell>
          <cell r="GD11">
            <v>12.01</v>
          </cell>
          <cell r="GE11">
            <v>12.12</v>
          </cell>
          <cell r="GF11">
            <v>12.44</v>
          </cell>
          <cell r="GG11">
            <v>12.86</v>
          </cell>
          <cell r="GH11">
            <v>12.7</v>
          </cell>
          <cell r="GI11">
            <v>12.5</v>
          </cell>
          <cell r="GJ11">
            <v>13.22</v>
          </cell>
          <cell r="GK11">
            <v>13.01</v>
          </cell>
          <cell r="GL11">
            <v>12.94</v>
          </cell>
          <cell r="GM11">
            <v>12.84</v>
          </cell>
          <cell r="GN11">
            <v>12.92</v>
          </cell>
          <cell r="GO11">
            <v>12.4</v>
          </cell>
          <cell r="GP11">
            <v>11.97</v>
          </cell>
          <cell r="GQ11">
            <v>12.9</v>
          </cell>
          <cell r="GR11">
            <v>13.07</v>
          </cell>
          <cell r="GS11">
            <v>13.18</v>
          </cell>
          <cell r="GT11">
            <v>13.4</v>
          </cell>
          <cell r="GU11">
            <v>13.68</v>
          </cell>
          <cell r="GV11">
            <v>13.13</v>
          </cell>
          <cell r="GW11">
            <v>13.39</v>
          </cell>
          <cell r="GX11">
            <v>14.19</v>
          </cell>
          <cell r="GY11">
            <v>14.37</v>
          </cell>
          <cell r="GZ11">
            <v>14.51</v>
          </cell>
          <cell r="HA11">
            <v>13.79</v>
          </cell>
          <cell r="HB11">
            <v>13.58</v>
          </cell>
          <cell r="HC11">
            <v>13.05</v>
          </cell>
          <cell r="HD11">
            <v>12.44</v>
          </cell>
          <cell r="HE11">
            <v>13.38</v>
          </cell>
          <cell r="HF11">
            <v>13.41</v>
          </cell>
          <cell r="HG11">
            <v>13.52</v>
          </cell>
          <cell r="HH11">
            <v>13.74</v>
          </cell>
          <cell r="HI11">
            <v>14.1</v>
          </cell>
          <cell r="HJ11">
            <v>14</v>
          </cell>
          <cell r="HK11">
            <v>13.47</v>
          </cell>
          <cell r="HL11">
            <v>14.11</v>
          </cell>
          <cell r="HM11">
            <v>14.18</v>
          </cell>
          <cell r="HN11">
            <v>14.15</v>
          </cell>
          <cell r="HO11">
            <v>14.16</v>
          </cell>
          <cell r="HP11">
            <v>14.13</v>
          </cell>
          <cell r="HQ11">
            <v>13.73</v>
          </cell>
          <cell r="HR11">
            <v>13.21</v>
          </cell>
          <cell r="HS11">
            <v>13.91</v>
          </cell>
          <cell r="HT11">
            <v>13.77</v>
          </cell>
          <cell r="HU11">
            <v>13.57</v>
          </cell>
          <cell r="HV11">
            <v>13.53</v>
          </cell>
          <cell r="HW11">
            <v>13.51</v>
          </cell>
          <cell r="HX11">
            <v>13.12</v>
          </cell>
          <cell r="HY11">
            <v>12.48</v>
          </cell>
          <cell r="HZ11">
            <v>13.2</v>
          </cell>
          <cell r="IA11">
            <v>13.1</v>
          </cell>
          <cell r="IB11">
            <v>13.2</v>
          </cell>
          <cell r="IC11">
            <v>13.57</v>
          </cell>
          <cell r="ID11">
            <v>14.02</v>
          </cell>
          <cell r="IE11">
            <v>13.83</v>
          </cell>
          <cell r="IF11">
            <v>13.31</v>
          </cell>
          <cell r="IG11">
            <v>13.67</v>
          </cell>
          <cell r="IH11">
            <v>13.09</v>
          </cell>
          <cell r="II11">
            <v>12.91</v>
          </cell>
          <cell r="IJ11">
            <v>13.06</v>
          </cell>
          <cell r="IK11">
            <v>13.39</v>
          </cell>
          <cell r="IL11">
            <v>13.3</v>
          </cell>
          <cell r="IM11">
            <v>13.14</v>
          </cell>
          <cell r="IN11">
            <v>13.39</v>
          </cell>
          <cell r="IO11">
            <v>12.93</v>
          </cell>
          <cell r="IP11">
            <v>13.28</v>
          </cell>
          <cell r="IQ11">
            <v>13.25</v>
          </cell>
          <cell r="IR11">
            <v>12.91</v>
          </cell>
          <cell r="IS11">
            <v>12.62</v>
          </cell>
          <cell r="IT11">
            <v>12.41</v>
          </cell>
          <cell r="IU11">
            <v>13.22</v>
          </cell>
          <cell r="IV11">
            <v>12.93</v>
          </cell>
          <cell r="IW11">
            <v>12.52</v>
          </cell>
          <cell r="IX11">
            <v>12.47</v>
          </cell>
          <cell r="IY11">
            <v>12.54</v>
          </cell>
          <cell r="IZ11">
            <v>12.46</v>
          </cell>
          <cell r="JA11">
            <v>11.68</v>
          </cell>
          <cell r="JB11">
            <v>11.03</v>
          </cell>
          <cell r="JC11">
            <v>10.62</v>
          </cell>
          <cell r="JD11">
            <v>12.26</v>
          </cell>
          <cell r="JE11">
            <v>12.56</v>
          </cell>
          <cell r="JF11">
            <v>12.65</v>
          </cell>
          <cell r="JG11">
            <v>11.58</v>
          </cell>
          <cell r="JH11">
            <v>10.78</v>
          </cell>
          <cell r="JI11">
            <v>10.96</v>
          </cell>
          <cell r="JJ11">
            <v>10.97</v>
          </cell>
          <cell r="JK11">
            <v>11.22</v>
          </cell>
          <cell r="JL11">
            <v>11.42</v>
          </cell>
          <cell r="JM11">
            <v>11.5</v>
          </cell>
          <cell r="JN11">
            <v>11.43</v>
          </cell>
          <cell r="JO11">
            <v>11.61</v>
          </cell>
          <cell r="JP11">
            <v>11.25</v>
          </cell>
          <cell r="JQ11">
            <v>9.38</v>
          </cell>
          <cell r="JR11">
            <v>9.13</v>
          </cell>
          <cell r="JS11">
            <v>9.33</v>
          </cell>
          <cell r="JT11">
            <v>9.75</v>
          </cell>
          <cell r="JU11">
            <v>10.05</v>
          </cell>
          <cell r="JV11">
            <v>10.26</v>
          </cell>
          <cell r="JW11">
            <v>10.52</v>
          </cell>
          <cell r="JX11">
            <v>10.64</v>
          </cell>
        </row>
        <row r="14">
          <cell r="C14">
            <v>8.54</v>
          </cell>
          <cell r="D14">
            <v>8.4</v>
          </cell>
          <cell r="E14">
            <v>9.09</v>
          </cell>
          <cell r="F14">
            <v>9.2</v>
          </cell>
          <cell r="G14">
            <v>9.17</v>
          </cell>
          <cell r="H14">
            <v>9.15</v>
          </cell>
          <cell r="I14">
            <v>9.11</v>
          </cell>
          <cell r="J14">
            <v>9.03</v>
          </cell>
          <cell r="K14">
            <v>9.2</v>
          </cell>
          <cell r="L14">
            <v>9.2</v>
          </cell>
          <cell r="M14">
            <v>9.2</v>
          </cell>
          <cell r="N14">
            <v>9.13</v>
          </cell>
          <cell r="O14">
            <v>9.06</v>
          </cell>
          <cell r="P14">
            <v>8.86</v>
          </cell>
          <cell r="Q14">
            <v>8.86</v>
          </cell>
          <cell r="R14">
            <v>9.13</v>
          </cell>
          <cell r="S14">
            <v>9.11</v>
          </cell>
          <cell r="T14">
            <v>9.08</v>
          </cell>
          <cell r="U14">
            <v>9.14</v>
          </cell>
          <cell r="V14">
            <v>9.18</v>
          </cell>
          <cell r="W14">
            <v>9.18</v>
          </cell>
          <cell r="X14">
            <v>9.29</v>
          </cell>
          <cell r="Y14">
            <v>9.67</v>
          </cell>
          <cell r="Z14">
            <v>9.68</v>
          </cell>
          <cell r="AA14">
            <v>9.53</v>
          </cell>
          <cell r="AB14">
            <v>9.33</v>
          </cell>
          <cell r="AC14">
            <v>9.15</v>
          </cell>
          <cell r="AD14">
            <v>9.01</v>
          </cell>
          <cell r="AE14">
            <v>8.74</v>
          </cell>
          <cell r="AF14">
            <v>8.64</v>
          </cell>
          <cell r="AG14">
            <v>8.41</v>
          </cell>
          <cell r="AH14">
            <v>8.27</v>
          </cell>
          <cell r="AI14">
            <v>8.3</v>
          </cell>
          <cell r="AJ14">
            <v>8.18</v>
          </cell>
          <cell r="AK14">
            <v>8.04</v>
          </cell>
          <cell r="AL14">
            <v>7.96</v>
          </cell>
          <cell r="AM14">
            <v>7.81</v>
          </cell>
          <cell r="AN14">
            <v>7.6</v>
          </cell>
          <cell r="AO14">
            <v>7.35</v>
          </cell>
          <cell r="AP14">
            <v>7.02</v>
          </cell>
          <cell r="AQ14">
            <v>6.78</v>
          </cell>
          <cell r="AR14">
            <v>6.48</v>
          </cell>
          <cell r="AS14">
            <v>6.36</v>
          </cell>
          <cell r="AT14">
            <v>6.25</v>
          </cell>
          <cell r="AU14">
            <v>6.24</v>
          </cell>
          <cell r="AV14">
            <v>6.36</v>
          </cell>
          <cell r="AW14">
            <v>6.62</v>
          </cell>
          <cell r="AX14">
            <v>6.7</v>
          </cell>
          <cell r="AY14">
            <v>6.84</v>
          </cell>
          <cell r="AZ14">
            <v>7.1</v>
          </cell>
          <cell r="BA14">
            <v>7.56</v>
          </cell>
          <cell r="BB14">
            <v>7.96</v>
          </cell>
          <cell r="BC14">
            <v>8.27</v>
          </cell>
          <cell r="BD14">
            <v>8.49</v>
          </cell>
          <cell r="BE14">
            <v>8.53</v>
          </cell>
          <cell r="BF14">
            <v>8.43</v>
          </cell>
          <cell r="BG14">
            <v>8.49</v>
          </cell>
          <cell r="BH14">
            <v>8.69</v>
          </cell>
          <cell r="BI14">
            <v>8.67</v>
          </cell>
          <cell r="BJ14">
            <v>8.73</v>
          </cell>
          <cell r="BK14">
            <v>8.84</v>
          </cell>
          <cell r="BL14">
            <v>8.89</v>
          </cell>
          <cell r="BM14">
            <v>8.74</v>
          </cell>
          <cell r="BN14">
            <v>8.52</v>
          </cell>
          <cell r="BO14">
            <v>8.74</v>
          </cell>
          <cell r="BP14">
            <v>8.79</v>
          </cell>
          <cell r="BQ14">
            <v>8.84</v>
          </cell>
          <cell r="BR14">
            <v>8.79</v>
          </cell>
          <cell r="BS14">
            <v>8.72</v>
          </cell>
          <cell r="BT14">
            <v>8.58</v>
          </cell>
          <cell r="BU14">
            <v>8.37</v>
          </cell>
          <cell r="BV14">
            <v>8.53</v>
          </cell>
          <cell r="BW14">
            <v>8.54</v>
          </cell>
          <cell r="BX14">
            <v>8.5</v>
          </cell>
          <cell r="BY14">
            <v>8.46</v>
          </cell>
          <cell r="BZ14">
            <v>8.37</v>
          </cell>
          <cell r="CA14">
            <v>8.27</v>
          </cell>
          <cell r="CB14">
            <v>8.24</v>
          </cell>
          <cell r="CC14">
            <v>8.48</v>
          </cell>
          <cell r="CD14">
            <v>8.46</v>
          </cell>
          <cell r="CE14">
            <v>8.42</v>
          </cell>
          <cell r="CF14">
            <v>8.35</v>
          </cell>
          <cell r="CG14">
            <v>8.35</v>
          </cell>
          <cell r="CH14">
            <v>8.29</v>
          </cell>
          <cell r="CI14">
            <v>8.22</v>
          </cell>
          <cell r="CJ14">
            <v>8.44</v>
          </cell>
          <cell r="CK14">
            <v>8.41</v>
          </cell>
          <cell r="CL14">
            <v>8.4</v>
          </cell>
          <cell r="CM14">
            <v>8.39</v>
          </cell>
          <cell r="CN14">
            <v>8.36</v>
          </cell>
          <cell r="CO14">
            <v>8.23</v>
          </cell>
          <cell r="CP14">
            <v>8.11</v>
          </cell>
          <cell r="CQ14">
            <v>8.33</v>
          </cell>
          <cell r="CR14">
            <v>8.36</v>
          </cell>
          <cell r="CS14">
            <v>8.07</v>
          </cell>
          <cell r="CT14">
            <v>7.64</v>
          </cell>
          <cell r="CU14">
            <v>7.97</v>
          </cell>
          <cell r="CV14">
            <v>8.12</v>
          </cell>
          <cell r="CW14">
            <v>8.19</v>
          </cell>
          <cell r="CX14">
            <v>8.24</v>
          </cell>
          <cell r="CY14">
            <v>8.24</v>
          </cell>
          <cell r="CZ14">
            <v>8.24</v>
          </cell>
          <cell r="DA14">
            <v>8.28</v>
          </cell>
          <cell r="DB14">
            <v>8.31</v>
          </cell>
          <cell r="DC14">
            <v>8.29</v>
          </cell>
          <cell r="DD14">
            <v>8.18</v>
          </cell>
          <cell r="DE14">
            <v>8.4</v>
          </cell>
          <cell r="DF14">
            <v>8.42</v>
          </cell>
          <cell r="DG14">
            <v>8.43</v>
          </cell>
          <cell r="DH14">
            <v>8.35</v>
          </cell>
          <cell r="DI14">
            <v>8.37</v>
          </cell>
          <cell r="DJ14">
            <v>8.2</v>
          </cell>
          <cell r="DK14">
            <v>8.07</v>
          </cell>
          <cell r="DL14">
            <v>8.28</v>
          </cell>
          <cell r="DM14">
            <v>8.29</v>
          </cell>
          <cell r="DN14">
            <v>8.3</v>
          </cell>
          <cell r="DO14">
            <v>8.36</v>
          </cell>
          <cell r="DP14">
            <v>8.44</v>
          </cell>
          <cell r="DQ14">
            <v>8.39</v>
          </cell>
          <cell r="DR14">
            <v>8.37</v>
          </cell>
          <cell r="DS14">
            <v>8.38</v>
          </cell>
          <cell r="DT14">
            <v>7.78</v>
          </cell>
          <cell r="DU14">
            <v>7.25</v>
          </cell>
          <cell r="DV14">
            <v>7.54</v>
          </cell>
          <cell r="DW14">
            <v>7.85</v>
          </cell>
          <cell r="DX14">
            <v>8.03</v>
          </cell>
          <cell r="DY14">
            <v>8.12</v>
          </cell>
          <cell r="DZ14">
            <v>8.3</v>
          </cell>
          <cell r="EA14">
            <v>8.37</v>
          </cell>
          <cell r="EB14">
            <v>8.35</v>
          </cell>
          <cell r="EC14">
            <v>8.35</v>
          </cell>
          <cell r="ED14">
            <v>8.41</v>
          </cell>
          <cell r="EE14">
            <v>8.4</v>
          </cell>
          <cell r="EF14">
            <v>8.2</v>
          </cell>
          <cell r="EG14">
            <v>8.4</v>
          </cell>
          <cell r="EH14">
            <v>8.42</v>
          </cell>
          <cell r="EI14">
            <v>8.44</v>
          </cell>
          <cell r="EJ14">
            <v>8.5</v>
          </cell>
          <cell r="EK14">
            <v>8.64</v>
          </cell>
          <cell r="EL14">
            <v>8.56</v>
          </cell>
          <cell r="EM14">
            <v>8.36</v>
          </cell>
          <cell r="EN14">
            <v>8.55</v>
          </cell>
          <cell r="EO14">
            <v>8.58</v>
          </cell>
          <cell r="EP14">
            <v>8.68</v>
          </cell>
          <cell r="EQ14">
            <v>8.77</v>
          </cell>
          <cell r="ER14">
            <v>8.89</v>
          </cell>
          <cell r="ES14">
            <v>8.71</v>
          </cell>
          <cell r="ET14">
            <v>8.6</v>
          </cell>
          <cell r="EU14">
            <v>8.65</v>
          </cell>
          <cell r="EV14">
            <v>8.6</v>
          </cell>
          <cell r="EW14">
            <v>8.57</v>
          </cell>
          <cell r="EX14">
            <v>8.58</v>
          </cell>
          <cell r="EY14">
            <v>8.55</v>
          </cell>
          <cell r="EZ14">
            <v>8.47</v>
          </cell>
          <cell r="FA14">
            <v>8.47</v>
          </cell>
          <cell r="FB14">
            <v>8.69</v>
          </cell>
          <cell r="FC14">
            <v>8.66</v>
          </cell>
          <cell r="FD14">
            <v>8.63</v>
          </cell>
          <cell r="FE14">
            <v>8.66</v>
          </cell>
          <cell r="FF14">
            <v>8.72</v>
          </cell>
          <cell r="FG14">
            <v>8.64</v>
          </cell>
          <cell r="FH14">
            <v>8.36</v>
          </cell>
          <cell r="FI14">
            <v>8.24</v>
          </cell>
          <cell r="FJ14">
            <v>9.09</v>
          </cell>
          <cell r="FK14">
            <v>9.46</v>
          </cell>
          <cell r="FL14">
            <v>9.64</v>
          </cell>
          <cell r="FM14">
            <v>9.69</v>
          </cell>
          <cell r="FN14">
            <v>9.59</v>
          </cell>
          <cell r="FO14">
            <v>9.21</v>
          </cell>
          <cell r="FP14">
            <v>9.5</v>
          </cell>
          <cell r="FQ14">
            <v>9.53</v>
          </cell>
          <cell r="FR14">
            <v>9.59</v>
          </cell>
          <cell r="FS14">
            <v>9.76</v>
          </cell>
          <cell r="FT14">
            <v>9.72</v>
          </cell>
          <cell r="FU14">
            <v>9.66</v>
          </cell>
          <cell r="FV14">
            <v>9.39</v>
          </cell>
          <cell r="FW14">
            <v>9.5</v>
          </cell>
          <cell r="FX14">
            <v>9.49</v>
          </cell>
          <cell r="FY14">
            <v>9.45</v>
          </cell>
          <cell r="FZ14">
            <v>9.49</v>
          </cell>
          <cell r="GA14">
            <v>9.57</v>
          </cell>
          <cell r="GB14">
            <v>9.52</v>
          </cell>
          <cell r="GC14">
            <v>9.36</v>
          </cell>
          <cell r="GD14">
            <v>9.45</v>
          </cell>
          <cell r="GE14">
            <v>9.39</v>
          </cell>
          <cell r="GF14">
            <v>9.66</v>
          </cell>
          <cell r="GG14">
            <v>9.88</v>
          </cell>
          <cell r="GH14">
            <v>10.04</v>
          </cell>
          <cell r="GI14">
            <v>10.19</v>
          </cell>
          <cell r="GJ14">
            <v>10.12</v>
          </cell>
          <cell r="GK14">
            <v>10.26</v>
          </cell>
          <cell r="GL14">
            <v>10.24</v>
          </cell>
          <cell r="GM14">
            <v>10.14</v>
          </cell>
          <cell r="GN14">
            <v>10.09</v>
          </cell>
          <cell r="GO14">
            <v>10.12</v>
          </cell>
          <cell r="GP14">
            <v>9.93</v>
          </cell>
          <cell r="GQ14">
            <v>9.8</v>
          </cell>
          <cell r="GR14">
            <v>10.13</v>
          </cell>
          <cell r="GS14">
            <v>10.21</v>
          </cell>
          <cell r="GT14">
            <v>10.25</v>
          </cell>
          <cell r="GU14">
            <v>10.36</v>
          </cell>
          <cell r="GV14">
            <v>10.42</v>
          </cell>
          <cell r="GW14">
            <v>10.45</v>
          </cell>
          <cell r="GX14">
            <v>10.54</v>
          </cell>
          <cell r="GY14">
            <v>10.87</v>
          </cell>
          <cell r="GZ14">
            <v>11.1</v>
          </cell>
          <cell r="HA14">
            <v>10.86</v>
          </cell>
          <cell r="HB14">
            <v>10.7</v>
          </cell>
          <cell r="HC14">
            <v>10.49</v>
          </cell>
          <cell r="HD14">
            <v>10.06</v>
          </cell>
          <cell r="HE14">
            <v>9.84</v>
          </cell>
          <cell r="HF14">
            <v>10.08</v>
          </cell>
          <cell r="HG14">
            <v>10.17</v>
          </cell>
          <cell r="HH14">
            <v>10.31</v>
          </cell>
          <cell r="HI14">
            <v>10.49</v>
          </cell>
          <cell r="HJ14">
            <v>10.77</v>
          </cell>
          <cell r="HK14">
            <v>10.7</v>
          </cell>
          <cell r="HL14">
            <v>10.48</v>
          </cell>
          <cell r="HM14">
            <v>10.67</v>
          </cell>
          <cell r="HN14">
            <v>10.68</v>
          </cell>
          <cell r="HO14">
            <v>10.73</v>
          </cell>
          <cell r="HP14">
            <v>10.85</v>
          </cell>
          <cell r="HQ14">
            <v>10.77</v>
          </cell>
          <cell r="HR14">
            <v>10.58</v>
          </cell>
          <cell r="HS14">
            <v>10.3</v>
          </cell>
          <cell r="HT14">
            <v>10.44</v>
          </cell>
          <cell r="HU14">
            <v>10.34</v>
          </cell>
          <cell r="HV14">
            <v>10.27</v>
          </cell>
          <cell r="HW14">
            <v>10.16</v>
          </cell>
          <cell r="HX14">
            <v>10.16</v>
          </cell>
          <cell r="HY14">
            <v>9.96</v>
          </cell>
          <cell r="HZ14">
            <v>9.74</v>
          </cell>
          <cell r="IA14">
            <v>9.95</v>
          </cell>
          <cell r="IB14">
            <v>9.99</v>
          </cell>
          <cell r="IC14">
            <v>10.07</v>
          </cell>
          <cell r="ID14">
            <v>10.4</v>
          </cell>
          <cell r="IE14">
            <v>10.52</v>
          </cell>
          <cell r="IF14">
            <v>10.58</v>
          </cell>
          <cell r="IG14">
            <v>10.27</v>
          </cell>
          <cell r="IH14">
            <v>10.34</v>
          </cell>
          <cell r="II14">
            <v>10.12</v>
          </cell>
          <cell r="IJ14">
            <v>10.08</v>
          </cell>
          <cell r="IK14">
            <v>10.04</v>
          </cell>
          <cell r="IL14">
            <v>10.26</v>
          </cell>
          <cell r="IM14">
            <v>10.11</v>
          </cell>
          <cell r="IN14">
            <v>10.19</v>
          </cell>
          <cell r="IO14">
            <v>10.1</v>
          </cell>
          <cell r="IP14">
            <v>10.11</v>
          </cell>
          <cell r="IQ14">
            <v>10.32</v>
          </cell>
          <cell r="IR14">
            <v>10.15</v>
          </cell>
          <cell r="IS14">
            <v>9.87</v>
          </cell>
          <cell r="IT14">
            <v>9.83</v>
          </cell>
          <cell r="IU14">
            <v>9.8</v>
          </cell>
          <cell r="IV14">
            <v>10.04</v>
          </cell>
          <cell r="IW14">
            <v>9.84</v>
          </cell>
          <cell r="IX14">
            <v>9.71</v>
          </cell>
          <cell r="IY14">
            <v>9.73</v>
          </cell>
          <cell r="IZ14">
            <v>9.8</v>
          </cell>
          <cell r="JA14">
            <v>9.59</v>
          </cell>
          <cell r="JB14">
            <v>9.22</v>
          </cell>
          <cell r="JC14">
            <v>8.75</v>
          </cell>
          <cell r="JD14">
            <v>8.64</v>
          </cell>
          <cell r="JE14">
            <v>9.68</v>
          </cell>
          <cell r="JF14">
            <v>9.79</v>
          </cell>
          <cell r="JG14">
            <v>9.61</v>
          </cell>
          <cell r="JH14">
            <v>9.09</v>
          </cell>
          <cell r="JI14">
            <v>8.67</v>
          </cell>
          <cell r="JJ14">
            <v>8.74</v>
          </cell>
          <cell r="JK14">
            <v>8.82</v>
          </cell>
          <cell r="JL14">
            <v>8.94</v>
          </cell>
          <cell r="JM14">
            <v>9.02</v>
          </cell>
          <cell r="JN14">
            <v>9.15</v>
          </cell>
          <cell r="JO14">
            <v>9.13</v>
          </cell>
          <cell r="JP14">
            <v>9.04</v>
          </cell>
          <cell r="JQ14">
            <v>8.05</v>
          </cell>
          <cell r="JR14">
            <v>7.45</v>
          </cell>
          <cell r="JS14">
            <v>7.45</v>
          </cell>
          <cell r="JT14">
            <v>7.66</v>
          </cell>
          <cell r="JU14">
            <v>8.04</v>
          </cell>
          <cell r="JV14">
            <v>8.23</v>
          </cell>
          <cell r="JW14">
            <v>8.38</v>
          </cell>
          <cell r="JX14">
            <v>8.46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1-数据"/>
      <sheetName val="02-2024年负荷创新高次数统计"/>
      <sheetName val="03-各类趋势线"/>
      <sheetName val="04-数据分析"/>
    </sheetNames>
    <sheetDataSet>
      <sheetData sheetId="0">
        <row r="1">
          <cell r="C1">
            <v>45292</v>
          </cell>
          <cell r="D1">
            <v>45293</v>
          </cell>
          <cell r="E1">
            <v>45294</v>
          </cell>
          <cell r="F1">
            <v>45295</v>
          </cell>
          <cell r="G1">
            <v>45296</v>
          </cell>
          <cell r="H1">
            <v>45297</v>
          </cell>
          <cell r="I1">
            <v>45298</v>
          </cell>
          <cell r="J1">
            <v>45299</v>
          </cell>
          <cell r="K1">
            <v>45300</v>
          </cell>
          <cell r="L1">
            <v>45301</v>
          </cell>
          <cell r="M1">
            <v>45302</v>
          </cell>
          <cell r="N1">
            <v>45303</v>
          </cell>
          <cell r="O1">
            <v>45304</v>
          </cell>
          <cell r="P1">
            <v>45305</v>
          </cell>
          <cell r="Q1">
            <v>45306</v>
          </cell>
          <cell r="R1">
            <v>45307</v>
          </cell>
          <cell r="S1">
            <v>45308</v>
          </cell>
          <cell r="T1">
            <v>45309</v>
          </cell>
          <cell r="U1">
            <v>45310</v>
          </cell>
          <cell r="V1">
            <v>45311</v>
          </cell>
          <cell r="W1">
            <v>45312</v>
          </cell>
          <cell r="X1">
            <v>45313</v>
          </cell>
          <cell r="Y1">
            <v>45314</v>
          </cell>
          <cell r="Z1">
            <v>45315</v>
          </cell>
          <cell r="AA1">
            <v>45316</v>
          </cell>
          <cell r="AB1">
            <v>45317</v>
          </cell>
          <cell r="AC1">
            <v>45318</v>
          </cell>
          <cell r="AD1">
            <v>45319</v>
          </cell>
          <cell r="AE1">
            <v>45320</v>
          </cell>
          <cell r="AF1">
            <v>45321</v>
          </cell>
          <cell r="AG1">
            <v>45322</v>
          </cell>
          <cell r="AH1">
            <v>45323</v>
          </cell>
          <cell r="AI1">
            <v>45324</v>
          </cell>
          <cell r="AJ1">
            <v>45325</v>
          </cell>
          <cell r="AK1">
            <v>45326</v>
          </cell>
          <cell r="AL1">
            <v>45327</v>
          </cell>
          <cell r="AM1">
            <v>45328</v>
          </cell>
          <cell r="AN1">
            <v>45329</v>
          </cell>
          <cell r="AO1">
            <v>45330</v>
          </cell>
          <cell r="AP1">
            <v>45331</v>
          </cell>
          <cell r="AQ1">
            <v>45332</v>
          </cell>
          <cell r="AR1">
            <v>45333</v>
          </cell>
          <cell r="AS1">
            <v>45334</v>
          </cell>
          <cell r="AT1">
            <v>45335</v>
          </cell>
          <cell r="AU1">
            <v>45336</v>
          </cell>
          <cell r="AV1">
            <v>45337</v>
          </cell>
          <cell r="AW1">
            <v>45338</v>
          </cell>
          <cell r="AX1">
            <v>45339</v>
          </cell>
          <cell r="AY1">
            <v>45340</v>
          </cell>
          <cell r="AZ1">
            <v>45341</v>
          </cell>
          <cell r="BA1">
            <v>45342</v>
          </cell>
          <cell r="BB1">
            <v>45343</v>
          </cell>
          <cell r="BC1">
            <v>45344</v>
          </cell>
          <cell r="BD1">
            <v>45345</v>
          </cell>
          <cell r="BE1">
            <v>45346</v>
          </cell>
          <cell r="BF1">
            <v>45347</v>
          </cell>
          <cell r="BG1">
            <v>45348</v>
          </cell>
          <cell r="BH1">
            <v>45349</v>
          </cell>
          <cell r="BI1">
            <v>45350</v>
          </cell>
          <cell r="BJ1">
            <v>45351</v>
          </cell>
          <cell r="BK1">
            <v>45352</v>
          </cell>
          <cell r="BL1">
            <v>45353</v>
          </cell>
          <cell r="BM1">
            <v>45354</v>
          </cell>
          <cell r="BN1">
            <v>45355</v>
          </cell>
          <cell r="BO1">
            <v>45356</v>
          </cell>
          <cell r="BP1">
            <v>45357</v>
          </cell>
          <cell r="BQ1">
            <v>45358</v>
          </cell>
          <cell r="BR1">
            <v>45359</v>
          </cell>
          <cell r="BS1">
            <v>45360</v>
          </cell>
          <cell r="BT1">
            <v>45361</v>
          </cell>
          <cell r="BU1">
            <v>45362</v>
          </cell>
          <cell r="BV1">
            <v>45363</v>
          </cell>
          <cell r="BW1">
            <v>45364</v>
          </cell>
          <cell r="BX1">
            <v>45365</v>
          </cell>
          <cell r="BY1">
            <v>45366</v>
          </cell>
          <cell r="BZ1">
            <v>45367</v>
          </cell>
          <cell r="CA1">
            <v>45368</v>
          </cell>
          <cell r="CB1">
            <v>45369</v>
          </cell>
          <cell r="CC1">
            <v>45370</v>
          </cell>
          <cell r="CD1">
            <v>45371</v>
          </cell>
          <cell r="CE1">
            <v>45372</v>
          </cell>
          <cell r="CF1">
            <v>45373</v>
          </cell>
          <cell r="CG1">
            <v>45374</v>
          </cell>
          <cell r="CH1">
            <v>45375</v>
          </cell>
          <cell r="CI1">
            <v>45376</v>
          </cell>
          <cell r="CJ1">
            <v>45377</v>
          </cell>
          <cell r="CK1">
            <v>45378</v>
          </cell>
          <cell r="CL1">
            <v>45379</v>
          </cell>
          <cell r="CM1">
            <v>45380</v>
          </cell>
          <cell r="CN1">
            <v>45381</v>
          </cell>
          <cell r="CO1">
            <v>45382</v>
          </cell>
          <cell r="CP1">
            <v>45383</v>
          </cell>
          <cell r="CQ1">
            <v>45384</v>
          </cell>
          <cell r="CR1">
            <v>45385</v>
          </cell>
          <cell r="CS1">
            <v>45386</v>
          </cell>
          <cell r="CT1">
            <v>45387</v>
          </cell>
          <cell r="CU1">
            <v>45388</v>
          </cell>
          <cell r="CV1">
            <v>45389</v>
          </cell>
          <cell r="CW1">
            <v>45390</v>
          </cell>
          <cell r="CX1">
            <v>45391</v>
          </cell>
          <cell r="CY1">
            <v>45392</v>
          </cell>
          <cell r="CZ1">
            <v>45393</v>
          </cell>
          <cell r="DA1">
            <v>45394</v>
          </cell>
          <cell r="DB1">
            <v>45395</v>
          </cell>
          <cell r="DC1">
            <v>45396</v>
          </cell>
          <cell r="DD1">
            <v>45397</v>
          </cell>
          <cell r="DE1">
            <v>45398</v>
          </cell>
          <cell r="DF1">
            <v>45399</v>
          </cell>
          <cell r="DG1">
            <v>45400</v>
          </cell>
          <cell r="DH1">
            <v>45401</v>
          </cell>
          <cell r="DI1">
            <v>45402</v>
          </cell>
          <cell r="DJ1">
            <v>45403</v>
          </cell>
          <cell r="DK1">
            <v>45404</v>
          </cell>
          <cell r="DL1">
            <v>45405</v>
          </cell>
          <cell r="DM1">
            <v>45406</v>
          </cell>
          <cell r="DN1">
            <v>45407</v>
          </cell>
          <cell r="DO1">
            <v>45408</v>
          </cell>
          <cell r="DP1">
            <v>45409</v>
          </cell>
          <cell r="DQ1">
            <v>45410</v>
          </cell>
          <cell r="DR1">
            <v>45411</v>
          </cell>
          <cell r="DS1">
            <v>45412</v>
          </cell>
          <cell r="DT1">
            <v>45413</v>
          </cell>
          <cell r="DU1">
            <v>45414</v>
          </cell>
          <cell r="DV1">
            <v>45415</v>
          </cell>
          <cell r="DW1">
            <v>45416</v>
          </cell>
          <cell r="DX1">
            <v>45417</v>
          </cell>
          <cell r="DY1">
            <v>45418</v>
          </cell>
          <cell r="DZ1">
            <v>45419</v>
          </cell>
          <cell r="EA1">
            <v>45420</v>
          </cell>
          <cell r="EB1">
            <v>45421</v>
          </cell>
          <cell r="EC1">
            <v>45422</v>
          </cell>
          <cell r="ED1">
            <v>45423</v>
          </cell>
          <cell r="EE1">
            <v>45424</v>
          </cell>
          <cell r="EF1">
            <v>45425</v>
          </cell>
          <cell r="EG1">
            <v>45426</v>
          </cell>
          <cell r="EH1">
            <v>45427</v>
          </cell>
          <cell r="EI1">
            <v>45428</v>
          </cell>
          <cell r="EJ1">
            <v>45429</v>
          </cell>
          <cell r="EK1">
            <v>45430</v>
          </cell>
          <cell r="EL1">
            <v>45431</v>
          </cell>
          <cell r="EM1">
            <v>45432</v>
          </cell>
          <cell r="EN1">
            <v>45433</v>
          </cell>
          <cell r="EO1">
            <v>45434</v>
          </cell>
          <cell r="EP1">
            <v>45435</v>
          </cell>
          <cell r="EQ1">
            <v>45436</v>
          </cell>
          <cell r="ER1">
            <v>45437</v>
          </cell>
          <cell r="ES1">
            <v>45438</v>
          </cell>
          <cell r="ET1">
            <v>45439</v>
          </cell>
          <cell r="EU1">
            <v>45440</v>
          </cell>
          <cell r="EV1">
            <v>45441</v>
          </cell>
          <cell r="EW1">
            <v>45442</v>
          </cell>
          <cell r="EX1">
            <v>45443</v>
          </cell>
          <cell r="EY1">
            <v>45444</v>
          </cell>
          <cell r="EZ1">
            <v>45445</v>
          </cell>
          <cell r="FA1">
            <v>45446</v>
          </cell>
          <cell r="FB1">
            <v>45447</v>
          </cell>
          <cell r="FC1">
            <v>45448</v>
          </cell>
          <cell r="FD1">
            <v>45449</v>
          </cell>
          <cell r="FE1">
            <v>45450</v>
          </cell>
          <cell r="FF1">
            <v>45451</v>
          </cell>
          <cell r="FG1">
            <v>45452</v>
          </cell>
          <cell r="FH1">
            <v>45453</v>
          </cell>
          <cell r="FI1">
            <v>45454</v>
          </cell>
          <cell r="FJ1">
            <v>45455</v>
          </cell>
          <cell r="FK1">
            <v>45456</v>
          </cell>
          <cell r="FL1">
            <v>45457</v>
          </cell>
          <cell r="FM1">
            <v>45458</v>
          </cell>
          <cell r="FN1">
            <v>45459</v>
          </cell>
          <cell r="FO1">
            <v>45460</v>
          </cell>
          <cell r="FP1">
            <v>45461</v>
          </cell>
          <cell r="FQ1">
            <v>45462</v>
          </cell>
          <cell r="FR1">
            <v>45463</v>
          </cell>
          <cell r="FS1">
            <v>45464</v>
          </cell>
          <cell r="FT1">
            <v>45465</v>
          </cell>
          <cell r="FU1">
            <v>45466</v>
          </cell>
          <cell r="FV1">
            <v>45467</v>
          </cell>
          <cell r="FW1">
            <v>45468</v>
          </cell>
          <cell r="FX1">
            <v>45469</v>
          </cell>
          <cell r="FY1">
            <v>45470</v>
          </cell>
          <cell r="FZ1">
            <v>45471</v>
          </cell>
          <cell r="GA1">
            <v>45472</v>
          </cell>
          <cell r="GB1">
            <v>45473</v>
          </cell>
          <cell r="GC1">
            <v>45474</v>
          </cell>
          <cell r="GD1">
            <v>45475</v>
          </cell>
          <cell r="GE1">
            <v>45476</v>
          </cell>
          <cell r="GF1">
            <v>45477</v>
          </cell>
          <cell r="GG1">
            <v>45478</v>
          </cell>
          <cell r="GH1">
            <v>45479</v>
          </cell>
          <cell r="GI1">
            <v>45480</v>
          </cell>
          <cell r="GJ1">
            <v>45481</v>
          </cell>
          <cell r="GK1">
            <v>45482</v>
          </cell>
          <cell r="GL1">
            <v>45483</v>
          </cell>
          <cell r="GM1">
            <v>45484</v>
          </cell>
          <cell r="GN1">
            <v>45485</v>
          </cell>
          <cell r="GO1">
            <v>45486</v>
          </cell>
          <cell r="GP1">
            <v>45487</v>
          </cell>
          <cell r="GQ1">
            <v>45488</v>
          </cell>
          <cell r="GR1">
            <v>45489</v>
          </cell>
          <cell r="GS1">
            <v>45490</v>
          </cell>
          <cell r="GT1">
            <v>45491</v>
          </cell>
          <cell r="GU1">
            <v>45492</v>
          </cell>
          <cell r="GV1">
            <v>45493</v>
          </cell>
          <cell r="GW1">
            <v>45494</v>
          </cell>
          <cell r="GX1">
            <v>45495</v>
          </cell>
          <cell r="GY1">
            <v>45496</v>
          </cell>
          <cell r="GZ1">
            <v>45497</v>
          </cell>
          <cell r="HA1">
            <v>45498</v>
          </cell>
          <cell r="HB1">
            <v>45499</v>
          </cell>
          <cell r="HC1">
            <v>45500</v>
          </cell>
          <cell r="HD1">
            <v>45501</v>
          </cell>
          <cell r="HE1">
            <v>45502</v>
          </cell>
          <cell r="HF1">
            <v>45503</v>
          </cell>
          <cell r="HG1">
            <v>45504</v>
          </cell>
          <cell r="HH1">
            <v>45505</v>
          </cell>
          <cell r="HI1">
            <v>45506</v>
          </cell>
          <cell r="HJ1">
            <v>45507</v>
          </cell>
          <cell r="HK1">
            <v>45508</v>
          </cell>
          <cell r="HL1">
            <v>45509</v>
          </cell>
          <cell r="HM1">
            <v>45510</v>
          </cell>
          <cell r="HN1">
            <v>45511</v>
          </cell>
          <cell r="HO1">
            <v>45512</v>
          </cell>
          <cell r="HP1">
            <v>45513</v>
          </cell>
          <cell r="HQ1">
            <v>45514</v>
          </cell>
          <cell r="HR1">
            <v>45515</v>
          </cell>
          <cell r="HS1">
            <v>45516</v>
          </cell>
          <cell r="HT1">
            <v>45517</v>
          </cell>
          <cell r="HU1">
            <v>45518</v>
          </cell>
          <cell r="HV1">
            <v>45519</v>
          </cell>
          <cell r="HW1">
            <v>45520</v>
          </cell>
          <cell r="HX1">
            <v>45521</v>
          </cell>
          <cell r="HY1">
            <v>45522</v>
          </cell>
          <cell r="HZ1">
            <v>45523</v>
          </cell>
          <cell r="IA1">
            <v>45524</v>
          </cell>
          <cell r="IB1">
            <v>45525</v>
          </cell>
          <cell r="IC1">
            <v>45526</v>
          </cell>
          <cell r="ID1">
            <v>45527</v>
          </cell>
          <cell r="IE1">
            <v>45528</v>
          </cell>
          <cell r="IF1">
            <v>45529</v>
          </cell>
          <cell r="IG1">
            <v>45530</v>
          </cell>
          <cell r="IH1">
            <v>45531</v>
          </cell>
          <cell r="II1">
            <v>45532</v>
          </cell>
          <cell r="IJ1">
            <v>45533</v>
          </cell>
          <cell r="IK1">
            <v>45534</v>
          </cell>
          <cell r="IL1">
            <v>45535</v>
          </cell>
          <cell r="IM1">
            <v>45536</v>
          </cell>
          <cell r="IN1">
            <v>45537</v>
          </cell>
          <cell r="IO1">
            <v>45538</v>
          </cell>
          <cell r="IP1">
            <v>45539</v>
          </cell>
          <cell r="IQ1">
            <v>45540</v>
          </cell>
          <cell r="IR1">
            <v>45541</v>
          </cell>
          <cell r="IS1">
            <v>45542</v>
          </cell>
          <cell r="IT1">
            <v>45543</v>
          </cell>
          <cell r="IU1">
            <v>45544</v>
          </cell>
          <cell r="IV1">
            <v>45545</v>
          </cell>
          <cell r="IW1">
            <v>45546</v>
          </cell>
          <cell r="IX1">
            <v>45547</v>
          </cell>
          <cell r="IY1">
            <v>45548</v>
          </cell>
          <cell r="IZ1">
            <v>45549</v>
          </cell>
          <cell r="JA1">
            <v>45550</v>
          </cell>
          <cell r="JB1">
            <v>45551</v>
          </cell>
          <cell r="JC1">
            <v>45552</v>
          </cell>
          <cell r="JD1">
            <v>45553</v>
          </cell>
          <cell r="JE1">
            <v>45554</v>
          </cell>
          <cell r="JF1">
            <v>45555</v>
          </cell>
          <cell r="JG1">
            <v>45556</v>
          </cell>
          <cell r="JH1">
            <v>45557</v>
          </cell>
          <cell r="JI1">
            <v>45558</v>
          </cell>
          <cell r="JJ1">
            <v>45559</v>
          </cell>
          <cell r="JK1">
            <v>45560</v>
          </cell>
          <cell r="JL1">
            <v>45561</v>
          </cell>
          <cell r="JM1">
            <v>45562</v>
          </cell>
          <cell r="JN1">
            <v>45563</v>
          </cell>
          <cell r="JO1">
            <v>45564</v>
          </cell>
          <cell r="JP1">
            <v>45565</v>
          </cell>
          <cell r="JQ1">
            <v>45566</v>
          </cell>
          <cell r="JR1">
            <v>45567</v>
          </cell>
          <cell r="JS1">
            <v>45568</v>
          </cell>
          <cell r="JT1">
            <v>45569</v>
          </cell>
          <cell r="JU1">
            <v>45570</v>
          </cell>
          <cell r="JV1">
            <v>45571</v>
          </cell>
          <cell r="JW1">
            <v>45572</v>
          </cell>
          <cell r="JX1">
            <v>45573</v>
          </cell>
          <cell r="JY1">
            <v>45574</v>
          </cell>
          <cell r="JZ1">
            <v>45575</v>
          </cell>
          <cell r="KA1">
            <v>45576</v>
          </cell>
          <cell r="KB1">
            <v>45577</v>
          </cell>
          <cell r="KC1">
            <v>45578</v>
          </cell>
          <cell r="KD1">
            <v>45579</v>
          </cell>
          <cell r="KE1">
            <v>45580</v>
          </cell>
          <cell r="KF1">
            <v>45581</v>
          </cell>
          <cell r="KG1">
            <v>45582</v>
          </cell>
          <cell r="KH1">
            <v>45583</v>
          </cell>
          <cell r="KI1">
            <v>45584</v>
          </cell>
          <cell r="KJ1">
            <v>45585</v>
          </cell>
          <cell r="KK1">
            <v>45586</v>
          </cell>
          <cell r="KL1">
            <v>45587</v>
          </cell>
          <cell r="KM1">
            <v>45588</v>
          </cell>
          <cell r="KN1">
            <v>45589</v>
          </cell>
          <cell r="KO1">
            <v>45590</v>
          </cell>
          <cell r="KP1">
            <v>45591</v>
          </cell>
          <cell r="KQ1">
            <v>45592</v>
          </cell>
          <cell r="KR1">
            <v>45593</v>
          </cell>
          <cell r="KS1">
            <v>45594</v>
          </cell>
          <cell r="KT1">
            <v>45595</v>
          </cell>
          <cell r="KU1">
            <v>45596</v>
          </cell>
          <cell r="KV1">
            <v>45597</v>
          </cell>
          <cell r="KW1">
            <v>45598</v>
          </cell>
          <cell r="KX1">
            <v>45599</v>
          </cell>
          <cell r="KY1">
            <v>45600</v>
          </cell>
          <cell r="KZ1">
            <v>45601</v>
          </cell>
          <cell r="LA1">
            <v>45602</v>
          </cell>
          <cell r="LB1">
            <v>45603</v>
          </cell>
          <cell r="LC1">
            <v>45604</v>
          </cell>
          <cell r="LD1">
            <v>45605</v>
          </cell>
          <cell r="LE1">
            <v>45606</v>
          </cell>
          <cell r="LF1">
            <v>45607</v>
          </cell>
          <cell r="LG1">
            <v>45608</v>
          </cell>
          <cell r="LH1">
            <v>45609</v>
          </cell>
          <cell r="LI1">
            <v>45610</v>
          </cell>
          <cell r="LJ1">
            <v>45611</v>
          </cell>
          <cell r="LK1">
            <v>45612</v>
          </cell>
          <cell r="LL1">
            <v>45613</v>
          </cell>
          <cell r="LM1">
            <v>45614</v>
          </cell>
          <cell r="LN1">
            <v>45615</v>
          </cell>
          <cell r="LO1">
            <v>45616</v>
          </cell>
          <cell r="LP1">
            <v>45617</v>
          </cell>
          <cell r="LQ1">
            <v>45618</v>
          </cell>
          <cell r="LR1">
            <v>45619</v>
          </cell>
          <cell r="LS1">
            <v>45620</v>
          </cell>
          <cell r="LT1">
            <v>45621</v>
          </cell>
          <cell r="LU1">
            <v>45622</v>
          </cell>
          <cell r="LV1">
            <v>45623</v>
          </cell>
          <cell r="LW1">
            <v>45624</v>
          </cell>
          <cell r="LX1">
            <v>45625</v>
          </cell>
          <cell r="LY1">
            <v>45626</v>
          </cell>
          <cell r="LZ1">
            <v>45627</v>
          </cell>
          <cell r="MA1">
            <v>45628</v>
          </cell>
          <cell r="MB1">
            <v>45629</v>
          </cell>
          <cell r="MC1">
            <v>45630</v>
          </cell>
          <cell r="MD1">
            <v>45631</v>
          </cell>
          <cell r="ME1">
            <v>45632</v>
          </cell>
          <cell r="MF1">
            <v>45633</v>
          </cell>
          <cell r="MG1">
            <v>45634</v>
          </cell>
          <cell r="MH1">
            <v>45635</v>
          </cell>
          <cell r="MI1">
            <v>45636</v>
          </cell>
          <cell r="MJ1">
            <v>45637</v>
          </cell>
          <cell r="MK1">
            <v>45638</v>
          </cell>
          <cell r="ML1">
            <v>45639</v>
          </cell>
          <cell r="MM1">
            <v>45640</v>
          </cell>
          <cell r="MN1">
            <v>45641</v>
          </cell>
          <cell r="MO1">
            <v>45642</v>
          </cell>
          <cell r="MP1">
            <v>45643</v>
          </cell>
          <cell r="MQ1">
            <v>45644</v>
          </cell>
          <cell r="MR1">
            <v>45645</v>
          </cell>
          <cell r="MS1">
            <v>45646</v>
          </cell>
          <cell r="MT1">
            <v>45647</v>
          </cell>
          <cell r="MU1">
            <v>45648</v>
          </cell>
          <cell r="MV1">
            <v>45649</v>
          </cell>
          <cell r="MW1">
            <v>45650</v>
          </cell>
          <cell r="MX1">
            <v>45651</v>
          </cell>
          <cell r="MY1">
            <v>45652</v>
          </cell>
          <cell r="MZ1">
            <v>45653</v>
          </cell>
          <cell r="NA1">
            <v>45654</v>
          </cell>
          <cell r="NB1">
            <v>45655</v>
          </cell>
          <cell r="NC1">
            <v>45656</v>
          </cell>
          <cell r="ND1">
            <v>45657</v>
          </cell>
        </row>
        <row r="2">
          <cell r="C2">
            <v>242.48</v>
          </cell>
          <cell r="D2">
            <v>262.6</v>
          </cell>
          <cell r="E2">
            <v>268.86</v>
          </cell>
          <cell r="F2">
            <v>270.42</v>
          </cell>
          <cell r="G2">
            <v>268.49</v>
          </cell>
          <cell r="H2">
            <v>265.57</v>
          </cell>
          <cell r="I2">
            <v>263.31</v>
          </cell>
          <cell r="J2">
            <v>271.96</v>
          </cell>
          <cell r="K2">
            <v>269.83</v>
          </cell>
          <cell r="L2">
            <v>271.63</v>
          </cell>
          <cell r="M2">
            <v>268.86</v>
          </cell>
          <cell r="N2">
            <v>266.03</v>
          </cell>
          <cell r="O2">
            <v>260.87</v>
          </cell>
          <cell r="P2">
            <v>255.73</v>
          </cell>
          <cell r="Q2">
            <v>266.33</v>
          </cell>
          <cell r="R2">
            <v>270.7</v>
          </cell>
          <cell r="S2">
            <v>268.59</v>
          </cell>
          <cell r="T2">
            <v>270.44</v>
          </cell>
          <cell r="U2">
            <v>273.23</v>
          </cell>
          <cell r="V2">
            <v>271.87</v>
          </cell>
          <cell r="W2">
            <v>271.63</v>
          </cell>
          <cell r="X2">
            <v>288.11</v>
          </cell>
          <cell r="Y2">
            <v>292.17</v>
          </cell>
          <cell r="Z2">
            <v>290.44</v>
          </cell>
          <cell r="AA2">
            <v>283.71</v>
          </cell>
          <cell r="AB2">
            <v>278.18</v>
          </cell>
          <cell r="AC2">
            <v>269.7</v>
          </cell>
          <cell r="AD2">
            <v>261.7</v>
          </cell>
          <cell r="AE2">
            <v>262.55</v>
          </cell>
          <cell r="AF2">
            <v>256.8</v>
          </cell>
          <cell r="AG2">
            <v>251.57</v>
          </cell>
          <cell r="AH2">
            <v>251.35</v>
          </cell>
          <cell r="AI2">
            <v>250.97</v>
          </cell>
          <cell r="AJ2">
            <v>245.05</v>
          </cell>
          <cell r="AK2">
            <v>243.79</v>
          </cell>
          <cell r="AL2">
            <v>240.06</v>
          </cell>
          <cell r="AM2">
            <v>234.81</v>
          </cell>
          <cell r="AN2">
            <v>227.87</v>
          </cell>
          <cell r="AO2">
            <v>218.22</v>
          </cell>
          <cell r="AP2">
            <v>207.38</v>
          </cell>
          <cell r="AQ2">
            <v>189.75</v>
          </cell>
          <cell r="AR2">
            <v>183.64</v>
          </cell>
          <cell r="AS2">
            <v>181.54</v>
          </cell>
          <cell r="AT2">
            <v>179.76</v>
          </cell>
          <cell r="AU2">
            <v>181.69</v>
          </cell>
          <cell r="AV2">
            <v>189.2</v>
          </cell>
          <cell r="AW2">
            <v>193.55</v>
          </cell>
          <cell r="AX2">
            <v>198.08</v>
          </cell>
          <cell r="AY2">
            <v>206.58</v>
          </cell>
          <cell r="AZ2">
            <v>218.56</v>
          </cell>
          <cell r="BA2">
            <v>233.11</v>
          </cell>
          <cell r="BB2">
            <v>245.32</v>
          </cell>
          <cell r="BC2">
            <v>255.53</v>
          </cell>
          <cell r="BD2">
            <v>261</v>
          </cell>
          <cell r="BE2">
            <v>254.81</v>
          </cell>
          <cell r="BF2">
            <v>254.04</v>
          </cell>
          <cell r="BG2">
            <v>262.04</v>
          </cell>
          <cell r="BH2">
            <v>261.35</v>
          </cell>
          <cell r="BI2">
            <v>263.6</v>
          </cell>
          <cell r="BJ2">
            <v>265.97</v>
          </cell>
          <cell r="BK2">
            <v>267.19</v>
          </cell>
          <cell r="BL2">
            <v>259.83</v>
          </cell>
          <cell r="BM2">
            <v>251.65</v>
          </cell>
          <cell r="BN2">
            <v>258.79</v>
          </cell>
          <cell r="BO2">
            <v>261.14</v>
          </cell>
          <cell r="BP2">
            <v>259.88</v>
          </cell>
          <cell r="BQ2">
            <v>257.37</v>
          </cell>
          <cell r="BR2">
            <v>254.67</v>
          </cell>
          <cell r="BS2">
            <v>251.01</v>
          </cell>
          <cell r="BT2">
            <v>244.69</v>
          </cell>
          <cell r="BU2">
            <v>246.29</v>
          </cell>
          <cell r="BV2">
            <v>246.47</v>
          </cell>
          <cell r="BW2">
            <v>247.6</v>
          </cell>
          <cell r="BX2">
            <v>247.51</v>
          </cell>
          <cell r="BY2">
            <v>244.83</v>
          </cell>
          <cell r="BZ2">
            <v>240.4</v>
          </cell>
          <cell r="CA2">
            <v>236.46</v>
          </cell>
          <cell r="CB2">
            <v>244.77</v>
          </cell>
          <cell r="CC2">
            <v>244.29</v>
          </cell>
          <cell r="CD2">
            <v>241.19</v>
          </cell>
          <cell r="CE2">
            <v>242.02</v>
          </cell>
          <cell r="CF2">
            <v>241.76</v>
          </cell>
          <cell r="CG2">
            <v>239.26</v>
          </cell>
          <cell r="CH2">
            <v>235.24</v>
          </cell>
          <cell r="CI2">
            <v>241.73</v>
          </cell>
          <cell r="CJ2">
            <v>242.41</v>
          </cell>
          <cell r="CK2">
            <v>244.27</v>
          </cell>
          <cell r="CL2">
            <v>242.36</v>
          </cell>
          <cell r="CM2">
            <v>241.65</v>
          </cell>
          <cell r="CN2">
            <v>238.6</v>
          </cell>
          <cell r="CO2">
            <v>233.34</v>
          </cell>
          <cell r="CP2">
            <v>237.25</v>
          </cell>
          <cell r="CQ2">
            <v>239.44</v>
          </cell>
          <cell r="CR2">
            <v>239.43</v>
          </cell>
          <cell r="CS2">
            <v>217.55</v>
          </cell>
          <cell r="CT2">
            <v>222.68</v>
          </cell>
          <cell r="CU2">
            <v>231.56</v>
          </cell>
          <cell r="CV2">
            <v>236.03</v>
          </cell>
          <cell r="CW2">
            <v>237.66</v>
          </cell>
          <cell r="CX2">
            <v>236.99</v>
          </cell>
          <cell r="CY2">
            <v>237.15</v>
          </cell>
          <cell r="CZ2">
            <v>238.11</v>
          </cell>
          <cell r="DA2">
            <v>239.47</v>
          </cell>
          <cell r="DB2">
            <v>238.36</v>
          </cell>
          <cell r="DC2">
            <v>233.36</v>
          </cell>
          <cell r="DD2">
            <v>240.51</v>
          </cell>
          <cell r="DE2">
            <v>241.08</v>
          </cell>
          <cell r="DF2">
            <v>242.23</v>
          </cell>
          <cell r="DG2">
            <v>241.07</v>
          </cell>
          <cell r="DH2">
            <v>239.48</v>
          </cell>
          <cell r="DI2">
            <v>237.31</v>
          </cell>
          <cell r="DJ2">
            <v>230.6</v>
          </cell>
          <cell r="DK2">
            <v>236.5</v>
          </cell>
          <cell r="DL2">
            <v>238.1</v>
          </cell>
          <cell r="DM2">
            <v>238.88</v>
          </cell>
          <cell r="DN2">
            <v>239.7</v>
          </cell>
          <cell r="DO2">
            <v>242.03</v>
          </cell>
          <cell r="DP2">
            <v>241.79</v>
          </cell>
          <cell r="DQ2">
            <v>240.8</v>
          </cell>
          <cell r="DR2">
            <v>241.5</v>
          </cell>
          <cell r="DS2">
            <v>236.06</v>
          </cell>
          <cell r="DT2">
            <v>208.11</v>
          </cell>
          <cell r="DU2">
            <v>209.68</v>
          </cell>
          <cell r="DV2">
            <v>220.05</v>
          </cell>
          <cell r="DW2">
            <v>225.86</v>
          </cell>
          <cell r="DX2">
            <v>230.23</v>
          </cell>
          <cell r="DY2">
            <v>238.07</v>
          </cell>
          <cell r="DZ2">
            <v>240.73</v>
          </cell>
          <cell r="EA2">
            <v>241.5</v>
          </cell>
          <cell r="EB2">
            <v>240.19</v>
          </cell>
          <cell r="EC2">
            <v>241.41</v>
          </cell>
          <cell r="ED2">
            <v>241.58</v>
          </cell>
          <cell r="EE2">
            <v>234.83</v>
          </cell>
          <cell r="EF2">
            <v>239.67</v>
          </cell>
          <cell r="EG2">
            <v>242.49</v>
          </cell>
          <cell r="EH2">
            <v>242.1</v>
          </cell>
          <cell r="EI2">
            <v>242.68</v>
          </cell>
          <cell r="EJ2">
            <v>248.2</v>
          </cell>
          <cell r="EK2">
            <v>247.93</v>
          </cell>
          <cell r="EL2">
            <v>240.42</v>
          </cell>
          <cell r="EM2">
            <v>244.86</v>
          </cell>
          <cell r="EN2">
            <v>247.49</v>
          </cell>
          <cell r="EO2">
            <v>249.69</v>
          </cell>
          <cell r="EP2">
            <v>253.63</v>
          </cell>
          <cell r="EQ2">
            <v>255.27</v>
          </cell>
          <cell r="ER2">
            <v>252.36</v>
          </cell>
          <cell r="ES2">
            <v>247.46</v>
          </cell>
          <cell r="ET2">
            <v>249.91</v>
          </cell>
          <cell r="EU2">
            <v>248.23</v>
          </cell>
          <cell r="EV2">
            <v>246.34</v>
          </cell>
          <cell r="EW2">
            <v>246.21</v>
          </cell>
          <cell r="EX2">
            <v>248.01</v>
          </cell>
          <cell r="EY2">
            <v>241.68</v>
          </cell>
          <cell r="EZ2">
            <v>238.89</v>
          </cell>
          <cell r="FA2">
            <v>248.46</v>
          </cell>
          <cell r="FB2">
            <v>249.13</v>
          </cell>
          <cell r="FC2">
            <v>247.94</v>
          </cell>
          <cell r="FD2">
            <v>248.9</v>
          </cell>
          <cell r="FE2">
            <v>249.09</v>
          </cell>
          <cell r="FF2">
            <v>247.94</v>
          </cell>
          <cell r="FG2">
            <v>242.44</v>
          </cell>
          <cell r="FH2">
            <v>232.22</v>
          </cell>
          <cell r="FI2">
            <v>256.33</v>
          </cell>
          <cell r="FJ2">
            <v>271.29</v>
          </cell>
          <cell r="FK2">
            <v>279.55</v>
          </cell>
          <cell r="FL2">
            <v>281.54</v>
          </cell>
          <cell r="FM2">
            <v>278.78</v>
          </cell>
          <cell r="FN2">
            <v>266.53</v>
          </cell>
          <cell r="FO2">
            <v>272.63</v>
          </cell>
          <cell r="FP2">
            <v>276.15</v>
          </cell>
          <cell r="FQ2">
            <v>276.68</v>
          </cell>
          <cell r="FR2">
            <v>280.65</v>
          </cell>
          <cell r="FS2">
            <v>280.22</v>
          </cell>
          <cell r="FT2">
            <v>278.71</v>
          </cell>
          <cell r="FU2">
            <v>269.94</v>
          </cell>
          <cell r="FV2">
            <v>274.08</v>
          </cell>
          <cell r="FW2">
            <v>273.77</v>
          </cell>
          <cell r="FX2">
            <v>273.7</v>
          </cell>
          <cell r="FY2">
            <v>273.25</v>
          </cell>
          <cell r="FZ2">
            <v>276.19</v>
          </cell>
          <cell r="GA2">
            <v>273.91</v>
          </cell>
          <cell r="GB2">
            <v>270.09</v>
          </cell>
          <cell r="GC2">
            <v>272.99</v>
          </cell>
          <cell r="GD2">
            <v>270.63</v>
          </cell>
          <cell r="GE2">
            <v>275.72</v>
          </cell>
          <cell r="GF2">
            <v>282.68</v>
          </cell>
          <cell r="GG2">
            <v>290.51</v>
          </cell>
          <cell r="GH2">
            <v>291.67</v>
          </cell>
          <cell r="GI2">
            <v>289.63</v>
          </cell>
          <cell r="GJ2">
            <v>298.26</v>
          </cell>
          <cell r="GK2">
            <v>297.15</v>
          </cell>
          <cell r="GL2">
            <v>295.09</v>
          </cell>
          <cell r="GM2">
            <v>292.04</v>
          </cell>
          <cell r="GN2">
            <v>293.52</v>
          </cell>
          <cell r="GO2">
            <v>286.26</v>
          </cell>
          <cell r="GP2">
            <v>278.42</v>
          </cell>
          <cell r="GQ2">
            <v>290.98</v>
          </cell>
          <cell r="GR2">
            <v>297.21</v>
          </cell>
          <cell r="GS2">
            <v>298.77</v>
          </cell>
          <cell r="GT2">
            <v>302.52</v>
          </cell>
          <cell r="GU2">
            <v>307.01</v>
          </cell>
          <cell r="GV2">
            <v>301.3</v>
          </cell>
          <cell r="GW2">
            <v>304.02</v>
          </cell>
          <cell r="GX2">
            <v>317.93</v>
          </cell>
          <cell r="GY2">
            <v>324.63</v>
          </cell>
          <cell r="GZ2">
            <v>325.29</v>
          </cell>
          <cell r="HA2">
            <v>314.63</v>
          </cell>
          <cell r="HB2">
            <v>309.87</v>
          </cell>
          <cell r="HC2">
            <v>297.82</v>
          </cell>
          <cell r="HD2">
            <v>287.03</v>
          </cell>
          <cell r="HE2">
            <v>298.03</v>
          </cell>
          <cell r="HF2">
            <v>300.4</v>
          </cell>
          <cell r="HG2">
            <v>304.5</v>
          </cell>
          <cell r="HH2">
            <v>308.94</v>
          </cell>
          <cell r="HI2">
            <v>316.16</v>
          </cell>
          <cell r="HJ2">
            <v>315.94</v>
          </cell>
          <cell r="HK2">
            <v>307.42</v>
          </cell>
          <cell r="HL2">
            <v>315.35</v>
          </cell>
          <cell r="HM2">
            <v>316.72</v>
          </cell>
          <cell r="HN2">
            <v>316.68</v>
          </cell>
          <cell r="HO2">
            <v>318.57</v>
          </cell>
          <cell r="HP2">
            <v>318.17</v>
          </cell>
          <cell r="HQ2">
            <v>311.46</v>
          </cell>
          <cell r="HR2">
            <v>302.18</v>
          </cell>
          <cell r="HS2">
            <v>309.66</v>
          </cell>
          <cell r="HT2">
            <v>307.54</v>
          </cell>
          <cell r="HU2">
            <v>304.67</v>
          </cell>
          <cell r="HV2">
            <v>302.24</v>
          </cell>
          <cell r="HW2">
            <v>300.52</v>
          </cell>
          <cell r="HX2">
            <v>296.29</v>
          </cell>
          <cell r="HY2">
            <v>286.42</v>
          </cell>
          <cell r="HZ2">
            <v>292.54</v>
          </cell>
          <cell r="IA2">
            <v>295.81</v>
          </cell>
          <cell r="IB2">
            <v>296.63</v>
          </cell>
          <cell r="IC2">
            <v>304.9</v>
          </cell>
          <cell r="ID2">
            <v>313.04</v>
          </cell>
          <cell r="IE2">
            <v>312.01</v>
          </cell>
          <cell r="IF2">
            <v>304.54</v>
          </cell>
          <cell r="IG2">
            <v>306.62</v>
          </cell>
          <cell r="IH2">
            <v>298.92</v>
          </cell>
          <cell r="II2">
            <v>294.41</v>
          </cell>
          <cell r="IJ2">
            <v>295.81</v>
          </cell>
          <cell r="IK2">
            <v>301.48</v>
          </cell>
          <cell r="IL2">
            <v>301.12</v>
          </cell>
          <cell r="IM2">
            <v>297.32</v>
          </cell>
          <cell r="IN2">
            <v>300.91</v>
          </cell>
          <cell r="IO2">
            <v>296.33</v>
          </cell>
          <cell r="IP2">
            <v>301.46</v>
          </cell>
          <cell r="IQ2">
            <v>301.63</v>
          </cell>
          <cell r="IR2">
            <v>292.65</v>
          </cell>
          <cell r="IS2">
            <v>286.78</v>
          </cell>
          <cell r="IT2">
            <v>284.1</v>
          </cell>
          <cell r="IU2">
            <v>296.39</v>
          </cell>
          <cell r="IV2">
            <v>292</v>
          </cell>
          <cell r="IW2">
            <v>285.26</v>
          </cell>
          <cell r="IX2">
            <v>284.4</v>
          </cell>
          <cell r="IY2">
            <v>286.55</v>
          </cell>
          <cell r="IZ2">
            <v>282.8</v>
          </cell>
          <cell r="JA2">
            <v>270.38</v>
          </cell>
          <cell r="JB2">
            <v>257.3</v>
          </cell>
          <cell r="JC2">
            <v>245.69</v>
          </cell>
          <cell r="JD2">
            <v>273.37</v>
          </cell>
          <cell r="JE2">
            <v>284.49</v>
          </cell>
          <cell r="JF2">
            <v>285.59</v>
          </cell>
          <cell r="JG2">
            <v>266.34</v>
          </cell>
          <cell r="JH2">
            <v>250.52</v>
          </cell>
          <cell r="JI2">
            <v>249.92</v>
          </cell>
          <cell r="JJ2">
            <v>252.17</v>
          </cell>
          <cell r="JK2">
            <v>256.82</v>
          </cell>
          <cell r="JL2">
            <v>260.88</v>
          </cell>
          <cell r="JM2">
            <v>263.59</v>
          </cell>
          <cell r="JN2">
            <v>263.61</v>
          </cell>
          <cell r="JO2">
            <v>265.5</v>
          </cell>
          <cell r="JP2">
            <v>254.85</v>
          </cell>
          <cell r="JQ2">
            <v>218.68</v>
          </cell>
          <cell r="JR2">
            <v>209.84</v>
          </cell>
          <cell r="JS2">
            <v>214.36</v>
          </cell>
          <cell r="JT2">
            <v>223.47</v>
          </cell>
          <cell r="JU2">
            <v>231.95</v>
          </cell>
          <cell r="JV2">
            <v>237.1</v>
          </cell>
          <cell r="JW2">
            <v>242.37</v>
          </cell>
          <cell r="JX2">
            <v>245.65</v>
          </cell>
          <cell r="JY2">
            <v>244.83</v>
          </cell>
          <cell r="JZ2">
            <v>244.58</v>
          </cell>
          <cell r="KA2">
            <v>246.13</v>
          </cell>
          <cell r="KB2">
            <v>247.24</v>
          </cell>
          <cell r="KC2">
            <v>242.55</v>
          </cell>
          <cell r="KD2">
            <v>250.44</v>
          </cell>
          <cell r="KE2">
            <v>251.18</v>
          </cell>
          <cell r="KF2">
            <v>252.45</v>
          </cell>
          <cell r="KG2">
            <v>253.95</v>
          </cell>
          <cell r="KH2">
            <v>255.09</v>
          </cell>
          <cell r="KI2">
            <v>251.34</v>
          </cell>
          <cell r="KJ2">
            <v>245.01</v>
          </cell>
          <cell r="KK2">
            <v>251.62</v>
          </cell>
          <cell r="KL2">
            <v>253.06</v>
          </cell>
          <cell r="KM2">
            <v>248.48</v>
          </cell>
          <cell r="KN2">
            <v>246.27</v>
          </cell>
          <cell r="KO2">
            <v>247.11</v>
          </cell>
          <cell r="KP2">
            <v>245.67</v>
          </cell>
          <cell r="KQ2">
            <v>240.36</v>
          </cell>
          <cell r="KR2">
            <v>245.25</v>
          </cell>
          <cell r="KS2">
            <v>246.36</v>
          </cell>
          <cell r="KT2">
            <v>246.52</v>
          </cell>
          <cell r="KU2">
            <v>245.16</v>
          </cell>
          <cell r="KV2">
            <v>242.37</v>
          </cell>
          <cell r="KW2">
            <v>241.07</v>
          </cell>
          <cell r="KX2">
            <v>237.74</v>
          </cell>
          <cell r="KY2">
            <v>247.28</v>
          </cell>
          <cell r="KZ2">
            <v>249.77</v>
          </cell>
          <cell r="LA2">
            <v>249.98</v>
          </cell>
          <cell r="LB2">
            <v>250.05</v>
          </cell>
          <cell r="LC2">
            <v>249.77</v>
          </cell>
          <cell r="LD2">
            <v>248.41</v>
          </cell>
          <cell r="LE2">
            <v>242.08</v>
          </cell>
          <cell r="LF2">
            <v>249.1</v>
          </cell>
          <cell r="LG2">
            <v>251.72</v>
          </cell>
          <cell r="LH2">
            <v>253.12</v>
          </cell>
          <cell r="LI2">
            <v>254.04</v>
          </cell>
          <cell r="LJ2">
            <v>255.98</v>
          </cell>
          <cell r="LK2">
            <v>252.72</v>
          </cell>
          <cell r="LL2">
            <v>247.91</v>
          </cell>
          <cell r="LM2">
            <v>255.89</v>
          </cell>
          <cell r="LN2">
            <v>258.51</v>
          </cell>
          <cell r="LO2">
            <v>258.34</v>
          </cell>
          <cell r="LP2">
            <v>257.9</v>
          </cell>
          <cell r="LQ2">
            <v>258.24</v>
          </cell>
          <cell r="LR2">
            <v>256.03</v>
          </cell>
          <cell r="LS2">
            <v>252.24</v>
          </cell>
          <cell r="LT2">
            <v>260.48</v>
          </cell>
          <cell r="LU2">
            <v>265.08</v>
          </cell>
          <cell r="LV2">
            <v>266.34</v>
          </cell>
          <cell r="LW2">
            <v>267.08</v>
          </cell>
          <cell r="LX2">
            <v>264.72</v>
          </cell>
          <cell r="LY2">
            <v>258.53</v>
          </cell>
          <cell r="LZ2">
            <v>250.28</v>
          </cell>
          <cell r="MA2">
            <v>260.28</v>
          </cell>
          <cell r="MB2">
            <v>265.62</v>
          </cell>
          <cell r="MC2">
            <v>267.67</v>
          </cell>
          <cell r="MD2">
            <v>269.04</v>
          </cell>
          <cell r="ME2">
            <v>270.63</v>
          </cell>
          <cell r="MF2">
            <v>269.89</v>
          </cell>
          <cell r="MG2">
            <v>265.83</v>
          </cell>
          <cell r="MH2">
            <v>274.75</v>
          </cell>
          <cell r="MI2">
            <v>278.15</v>
          </cell>
          <cell r="MJ2">
            <v>279.25</v>
          </cell>
          <cell r="MK2">
            <v>282.38</v>
          </cell>
          <cell r="ML2">
            <v>283.2</v>
          </cell>
          <cell r="MM2">
            <v>281.52</v>
          </cell>
          <cell r="MN2">
            <v>273.86</v>
          </cell>
          <cell r="MO2">
            <v>278.6</v>
          </cell>
          <cell r="MP2">
            <v>280.87</v>
          </cell>
          <cell r="MQ2">
            <v>283.28</v>
          </cell>
          <cell r="MR2">
            <v>287.03</v>
          </cell>
          <cell r="MS2">
            <v>285.98</v>
          </cell>
          <cell r="MT2">
            <v>284.15</v>
          </cell>
          <cell r="MU2">
            <v>281.72</v>
          </cell>
          <cell r="MV2">
            <v>287.9</v>
          </cell>
          <cell r="MW2">
            <v>286.83</v>
          </cell>
          <cell r="MX2">
            <v>286.05</v>
          </cell>
          <cell r="MY2">
            <v>284.86</v>
          </cell>
          <cell r="MZ2">
            <v>285.92</v>
          </cell>
          <cell r="NA2">
            <v>282.61</v>
          </cell>
          <cell r="NB2">
            <v>277.96</v>
          </cell>
          <cell r="NC2">
            <v>280.3</v>
          </cell>
          <cell r="ND2">
            <v>274.26</v>
          </cell>
        </row>
        <row r="3">
          <cell r="C3">
            <v>242.48</v>
          </cell>
          <cell r="D3">
            <v>505.09</v>
          </cell>
          <cell r="E3">
            <v>773.94</v>
          </cell>
          <cell r="F3">
            <v>1044.36</v>
          </cell>
          <cell r="G3">
            <v>1312.85</v>
          </cell>
          <cell r="H3">
            <v>1578.42</v>
          </cell>
          <cell r="I3">
            <v>1841.73</v>
          </cell>
          <cell r="J3">
            <v>2113.7</v>
          </cell>
          <cell r="K3">
            <v>2383.53</v>
          </cell>
          <cell r="L3">
            <v>2655.16</v>
          </cell>
          <cell r="M3">
            <v>2924.02</v>
          </cell>
          <cell r="N3">
            <v>3190.05</v>
          </cell>
          <cell r="O3">
            <v>3450.92</v>
          </cell>
          <cell r="P3">
            <v>3706.65</v>
          </cell>
          <cell r="Q3">
            <v>3972.79</v>
          </cell>
          <cell r="R3">
            <v>4243.49</v>
          </cell>
          <cell r="S3">
            <v>4512.08</v>
          </cell>
          <cell r="T3">
            <v>4782.52</v>
          </cell>
          <cell r="U3">
            <v>5055.75</v>
          </cell>
          <cell r="V3">
            <v>5327.62</v>
          </cell>
          <cell r="W3">
            <v>5599.25</v>
          </cell>
          <cell r="X3">
            <v>5887.35</v>
          </cell>
          <cell r="Y3">
            <v>6179.52</v>
          </cell>
          <cell r="Z3">
            <v>6469.96</v>
          </cell>
          <cell r="AA3">
            <v>6753.68</v>
          </cell>
          <cell r="AB3">
            <v>7031.86</v>
          </cell>
          <cell r="AC3">
            <v>7301.56</v>
          </cell>
          <cell r="AD3">
            <v>7563.26</v>
          </cell>
          <cell r="AE3">
            <v>7825.81</v>
          </cell>
          <cell r="AF3">
            <v>8082.61</v>
          </cell>
          <cell r="AG3">
            <v>8334.18</v>
          </cell>
          <cell r="AH3">
            <v>251.35</v>
          </cell>
          <cell r="AI3">
            <v>502.32</v>
          </cell>
          <cell r="AJ3">
            <v>747.37</v>
          </cell>
          <cell r="AK3">
            <v>991.16</v>
          </cell>
          <cell r="AL3">
            <v>1231.22</v>
          </cell>
          <cell r="AM3">
            <v>1466.02</v>
          </cell>
          <cell r="AN3">
            <v>1693.89</v>
          </cell>
          <cell r="AO3">
            <v>1912.12</v>
          </cell>
          <cell r="AP3">
            <v>2119.5</v>
          </cell>
          <cell r="AQ3">
            <v>2309.25</v>
          </cell>
          <cell r="AR3">
            <v>2492.89</v>
          </cell>
          <cell r="AS3">
            <v>2674.43</v>
          </cell>
          <cell r="AT3">
            <v>2854.2</v>
          </cell>
          <cell r="AU3">
            <v>3035.89</v>
          </cell>
          <cell r="AV3">
            <v>3225.08</v>
          </cell>
          <cell r="AW3">
            <v>3418.63</v>
          </cell>
          <cell r="AX3">
            <v>3616.71</v>
          </cell>
          <cell r="AY3">
            <v>3823.29</v>
          </cell>
          <cell r="AZ3">
            <v>4041.85</v>
          </cell>
          <cell r="BA3">
            <v>4274.96</v>
          </cell>
          <cell r="BB3">
            <v>4520.28</v>
          </cell>
          <cell r="BC3">
            <v>4775.81</v>
          </cell>
          <cell r="BD3">
            <v>5036.81</v>
          </cell>
          <cell r="BE3">
            <v>5291.62</v>
          </cell>
          <cell r="BF3">
            <v>5545.66</v>
          </cell>
          <cell r="BG3">
            <v>5807.7</v>
          </cell>
          <cell r="BH3">
            <v>6069.06</v>
          </cell>
          <cell r="BI3">
            <v>6332.66</v>
          </cell>
          <cell r="BJ3">
            <v>6598.63</v>
          </cell>
          <cell r="BK3">
            <v>267.19</v>
          </cell>
          <cell r="BL3">
            <v>527.02</v>
          </cell>
          <cell r="BM3">
            <v>778.67</v>
          </cell>
          <cell r="BN3">
            <v>1037.46</v>
          </cell>
          <cell r="BO3">
            <v>1298.6</v>
          </cell>
          <cell r="BP3">
            <v>1558.48</v>
          </cell>
          <cell r="BQ3">
            <v>1815.83</v>
          </cell>
          <cell r="BR3">
            <v>2070.5</v>
          </cell>
          <cell r="BS3">
            <v>2321.51</v>
          </cell>
          <cell r="BT3">
            <v>2566.2</v>
          </cell>
          <cell r="BU3">
            <v>2812.49</v>
          </cell>
          <cell r="BV3">
            <v>3058.96</v>
          </cell>
          <cell r="BW3">
            <v>3306.56</v>
          </cell>
          <cell r="BX3">
            <v>3554.07</v>
          </cell>
          <cell r="BY3">
            <v>3798.9</v>
          </cell>
          <cell r="BZ3">
            <v>4039.3</v>
          </cell>
          <cell r="CA3">
            <v>4275.76</v>
          </cell>
          <cell r="CB3">
            <v>4520.54</v>
          </cell>
          <cell r="CC3">
            <v>4764.83</v>
          </cell>
          <cell r="CD3">
            <v>5006.01</v>
          </cell>
          <cell r="CE3">
            <v>5248.03</v>
          </cell>
          <cell r="CF3">
            <v>5489.8</v>
          </cell>
          <cell r="CG3">
            <v>5729.06</v>
          </cell>
          <cell r="CH3">
            <v>5964.3</v>
          </cell>
          <cell r="CI3">
            <v>6206.02</v>
          </cell>
          <cell r="CJ3">
            <v>6448.43</v>
          </cell>
          <cell r="CK3">
            <v>6692.7</v>
          </cell>
          <cell r="CL3">
            <v>6935.05</v>
          </cell>
          <cell r="CM3">
            <v>7276.71</v>
          </cell>
          <cell r="CN3">
            <v>7415.31</v>
          </cell>
          <cell r="CO3">
            <v>7648.64</v>
          </cell>
          <cell r="CP3">
            <v>237.25</v>
          </cell>
          <cell r="CQ3">
            <v>476.69</v>
          </cell>
          <cell r="CR3">
            <v>716.12</v>
          </cell>
          <cell r="CS3">
            <v>933.67</v>
          </cell>
          <cell r="CT3">
            <v>1156.34</v>
          </cell>
          <cell r="CU3">
            <v>1387.9</v>
          </cell>
          <cell r="CV3">
            <v>1623.93</v>
          </cell>
          <cell r="CW3">
            <v>1861.59</v>
          </cell>
          <cell r="CX3">
            <v>2098.58</v>
          </cell>
          <cell r="CY3">
            <v>2335.73</v>
          </cell>
          <cell r="CZ3">
            <v>2573.84</v>
          </cell>
          <cell r="DA3">
            <v>2813.31</v>
          </cell>
          <cell r="DB3">
            <v>3051.67</v>
          </cell>
          <cell r="DC3">
            <v>3285.03</v>
          </cell>
          <cell r="DD3">
            <v>3525.54</v>
          </cell>
          <cell r="DE3">
            <v>3766.62</v>
          </cell>
          <cell r="DF3">
            <v>4008.85</v>
          </cell>
          <cell r="DG3">
            <v>4249.92</v>
          </cell>
          <cell r="DH3">
            <v>4489.4</v>
          </cell>
          <cell r="DI3">
            <v>4726.72</v>
          </cell>
          <cell r="DJ3">
            <v>4957.32</v>
          </cell>
          <cell r="DK3">
            <v>5193.82</v>
          </cell>
          <cell r="DL3">
            <v>5431.92</v>
          </cell>
          <cell r="DM3">
            <v>5670.8</v>
          </cell>
          <cell r="DN3">
            <v>5910.49</v>
          </cell>
          <cell r="DO3">
            <v>6152.52</v>
          </cell>
          <cell r="DP3">
            <v>6394.31</v>
          </cell>
          <cell r="DQ3">
            <v>6635.11</v>
          </cell>
          <cell r="DR3">
            <v>6876.6</v>
          </cell>
          <cell r="DS3">
            <v>7112.67</v>
          </cell>
          <cell r="DT3">
            <v>208.11</v>
          </cell>
          <cell r="DU3">
            <v>417.79</v>
          </cell>
          <cell r="DV3">
            <v>637.84</v>
          </cell>
          <cell r="DW3">
            <v>863.7</v>
          </cell>
          <cell r="DX3">
            <v>1093.93</v>
          </cell>
          <cell r="DY3">
            <v>1332</v>
          </cell>
          <cell r="DZ3">
            <v>1572.73</v>
          </cell>
          <cell r="EA3">
            <v>1814.22</v>
          </cell>
          <cell r="EB3">
            <v>2054.41</v>
          </cell>
          <cell r="EC3">
            <v>2295.81</v>
          </cell>
          <cell r="ED3">
            <v>2537.39</v>
          </cell>
          <cell r="EE3">
            <v>2772.22</v>
          </cell>
          <cell r="EF3">
            <v>3011.89</v>
          </cell>
          <cell r="EG3">
            <v>3254.38</v>
          </cell>
          <cell r="EH3">
            <v>3496.48</v>
          </cell>
          <cell r="EI3">
            <v>3739.16</v>
          </cell>
          <cell r="EJ3">
            <v>3987.35</v>
          </cell>
          <cell r="EK3">
            <v>4235.28</v>
          </cell>
          <cell r="EL3">
            <v>4475.71</v>
          </cell>
          <cell r="EM3">
            <v>4720.57</v>
          </cell>
          <cell r="EN3">
            <v>4968.06</v>
          </cell>
          <cell r="EO3">
            <v>5217.75</v>
          </cell>
          <cell r="EP3">
            <v>5471.38</v>
          </cell>
          <cell r="EQ3">
            <v>5726.65</v>
          </cell>
          <cell r="ER3">
            <v>5979</v>
          </cell>
          <cell r="ES3">
            <v>6226.46</v>
          </cell>
          <cell r="ET3">
            <v>6476.37</v>
          </cell>
          <cell r="EU3">
            <v>6724.6</v>
          </cell>
          <cell r="EV3">
            <v>6970.94</v>
          </cell>
          <cell r="EW3">
            <v>7217.14</v>
          </cell>
          <cell r="EX3">
            <v>7465.16</v>
          </cell>
          <cell r="EY3">
            <v>241.68</v>
          </cell>
          <cell r="EZ3">
            <v>480.58</v>
          </cell>
          <cell r="FA3">
            <v>729.04</v>
          </cell>
          <cell r="FB3">
            <v>978.17</v>
          </cell>
          <cell r="FC3">
            <v>1226.11</v>
          </cell>
          <cell r="FD3">
            <v>1475.01</v>
          </cell>
          <cell r="FE3">
            <v>1724.1</v>
          </cell>
          <cell r="FF3">
            <v>1972.04</v>
          </cell>
          <cell r="FG3">
            <v>2214.48</v>
          </cell>
          <cell r="FH3">
            <v>2446.7</v>
          </cell>
          <cell r="FI3">
            <v>2703.02</v>
          </cell>
          <cell r="FJ3">
            <v>2974.32</v>
          </cell>
          <cell r="FK3">
            <v>3253.87</v>
          </cell>
          <cell r="FL3">
            <v>3535.41</v>
          </cell>
          <cell r="FM3">
            <v>3814.19</v>
          </cell>
          <cell r="FN3">
            <v>4080.72</v>
          </cell>
          <cell r="FO3">
            <v>4353.35</v>
          </cell>
          <cell r="FP3">
            <v>4629.5</v>
          </cell>
          <cell r="FQ3">
            <v>4906.18</v>
          </cell>
          <cell r="FR3">
            <v>5186.83</v>
          </cell>
          <cell r="FS3">
            <v>5467.05</v>
          </cell>
          <cell r="FT3">
            <v>5745.76</v>
          </cell>
          <cell r="FU3">
            <v>6015.71</v>
          </cell>
          <cell r="FV3">
            <v>6289.78</v>
          </cell>
          <cell r="FW3">
            <v>6563.56</v>
          </cell>
          <cell r="FX3">
            <v>6837.26</v>
          </cell>
          <cell r="FY3">
            <v>7110.51</v>
          </cell>
          <cell r="FZ3">
            <v>7386.7</v>
          </cell>
          <cell r="GA3">
            <v>7660.61</v>
          </cell>
          <cell r="GB3">
            <v>7930.7</v>
          </cell>
          <cell r="GC3">
            <v>272.99</v>
          </cell>
          <cell r="GD3">
            <v>543.62</v>
          </cell>
          <cell r="GE3">
            <v>819.34</v>
          </cell>
          <cell r="GF3">
            <v>1102.02</v>
          </cell>
          <cell r="GG3">
            <v>1392.53</v>
          </cell>
          <cell r="GH3">
            <v>1684.2</v>
          </cell>
          <cell r="GI3">
            <v>1973.83</v>
          </cell>
          <cell r="GJ3">
            <v>2272.09</v>
          </cell>
          <cell r="GK3">
            <v>2569.24</v>
          </cell>
          <cell r="GL3">
            <v>2864.33</v>
          </cell>
          <cell r="GM3">
            <v>3156.37</v>
          </cell>
          <cell r="GN3">
            <v>3449.89</v>
          </cell>
          <cell r="GO3">
            <v>3736.15</v>
          </cell>
          <cell r="GP3">
            <v>4014.57</v>
          </cell>
          <cell r="GQ3">
            <v>4305.55</v>
          </cell>
          <cell r="GR3">
            <v>4602.75</v>
          </cell>
          <cell r="GS3">
            <v>4901.53</v>
          </cell>
          <cell r="GT3">
            <v>5204.05</v>
          </cell>
          <cell r="GU3">
            <v>5511.05</v>
          </cell>
          <cell r="GV3">
            <v>5812.35</v>
          </cell>
          <cell r="GW3">
            <v>6116.38</v>
          </cell>
          <cell r="GX3">
            <v>6434.3</v>
          </cell>
          <cell r="GY3">
            <v>6758.94</v>
          </cell>
          <cell r="GZ3">
            <v>7084.23</v>
          </cell>
          <cell r="HA3">
            <v>7398.86</v>
          </cell>
          <cell r="HB3">
            <v>7708.73</v>
          </cell>
          <cell r="HC3">
            <v>8006.54</v>
          </cell>
          <cell r="HD3">
            <v>8293.57</v>
          </cell>
          <cell r="HE3">
            <v>8591.6</v>
          </cell>
          <cell r="HF3">
            <v>8892</v>
          </cell>
          <cell r="HG3">
            <v>9196.49</v>
          </cell>
          <cell r="HH3">
            <v>308.94</v>
          </cell>
          <cell r="HI3">
            <v>625.1</v>
          </cell>
          <cell r="HJ3">
            <v>941.03</v>
          </cell>
          <cell r="HK3">
            <v>1248.45</v>
          </cell>
          <cell r="HL3">
            <v>1563.8</v>
          </cell>
          <cell r="HM3">
            <v>1880.53</v>
          </cell>
          <cell r="HN3">
            <v>2197.21</v>
          </cell>
          <cell r="HO3">
            <v>2515.78</v>
          </cell>
          <cell r="HP3">
            <v>2833.95</v>
          </cell>
          <cell r="HQ3">
            <v>3145.41</v>
          </cell>
          <cell r="HR3">
            <v>3447.58</v>
          </cell>
          <cell r="HS3">
            <v>3757.25</v>
          </cell>
          <cell r="HT3">
            <v>4064.78</v>
          </cell>
          <cell r="HU3">
            <v>4369.45</v>
          </cell>
          <cell r="HV3">
            <v>4671.69</v>
          </cell>
          <cell r="HW3">
            <v>4972.22</v>
          </cell>
          <cell r="HX3">
            <v>5269.11</v>
          </cell>
          <cell r="HY3">
            <v>5555.52</v>
          </cell>
          <cell r="HZ3">
            <v>5848.06</v>
          </cell>
          <cell r="IA3">
            <v>6143.87</v>
          </cell>
          <cell r="IB3">
            <v>6440.51</v>
          </cell>
          <cell r="IC3">
            <v>6745.41</v>
          </cell>
          <cell r="ID3">
            <v>7058.45</v>
          </cell>
          <cell r="IE3">
            <v>7370.46</v>
          </cell>
          <cell r="IF3">
            <v>7675</v>
          </cell>
          <cell r="IG3">
            <v>7981.62</v>
          </cell>
          <cell r="IH3">
            <v>8280.54</v>
          </cell>
          <cell r="II3">
            <v>8574.95</v>
          </cell>
          <cell r="IJ3">
            <v>8870.76</v>
          </cell>
          <cell r="IK3">
            <v>9172.23</v>
          </cell>
          <cell r="IL3">
            <v>9473.35</v>
          </cell>
          <cell r="IM3">
            <v>297.32</v>
          </cell>
          <cell r="IN3">
            <v>598.23</v>
          </cell>
          <cell r="IO3">
            <v>894.56</v>
          </cell>
          <cell r="IP3">
            <v>1196.03</v>
          </cell>
          <cell r="IQ3">
            <v>1497.65</v>
          </cell>
          <cell r="IR3">
            <v>1790.3</v>
          </cell>
          <cell r="IS3">
            <v>2077.09</v>
          </cell>
          <cell r="IT3">
            <v>2361.19</v>
          </cell>
          <cell r="IU3">
            <v>2657.58</v>
          </cell>
          <cell r="IV3">
            <v>2949.58</v>
          </cell>
          <cell r="IW3">
            <v>3234.84</v>
          </cell>
          <cell r="IX3">
            <v>3519.23</v>
          </cell>
          <cell r="IY3">
            <v>3805.78</v>
          </cell>
          <cell r="IZ3">
            <v>4088.58</v>
          </cell>
          <cell r="JA3">
            <v>4358.96</v>
          </cell>
          <cell r="JB3">
            <v>4616.26</v>
          </cell>
          <cell r="JC3">
            <v>4861.95</v>
          </cell>
          <cell r="JD3">
            <v>5135.31</v>
          </cell>
          <cell r="JE3">
            <v>5419.8</v>
          </cell>
          <cell r="JF3">
            <v>5705.39</v>
          </cell>
          <cell r="JG3">
            <v>5971.72</v>
          </cell>
          <cell r="JH3">
            <v>6222.24</v>
          </cell>
          <cell r="JI3">
            <v>6472.16</v>
          </cell>
          <cell r="JJ3">
            <v>6724.32</v>
          </cell>
          <cell r="JK3">
            <v>6981.14</v>
          </cell>
          <cell r="JL3">
            <v>7242.02</v>
          </cell>
          <cell r="JM3">
            <v>7505.61</v>
          </cell>
          <cell r="JN3">
            <v>7769.22</v>
          </cell>
          <cell r="JO3">
            <v>8034.72</v>
          </cell>
          <cell r="JP3">
            <v>8289.57</v>
          </cell>
          <cell r="JQ3">
            <v>218.68</v>
          </cell>
          <cell r="JR3">
            <v>428.52</v>
          </cell>
          <cell r="JS3">
            <v>642.88</v>
          </cell>
          <cell r="JT3">
            <v>866.35</v>
          </cell>
          <cell r="JU3">
            <v>1098.3</v>
          </cell>
          <cell r="JV3">
            <v>1335.4</v>
          </cell>
          <cell r="JW3">
            <v>1577.78</v>
          </cell>
          <cell r="JX3">
            <v>1823.43</v>
          </cell>
          <cell r="JY3">
            <v>2068.26</v>
          </cell>
          <cell r="JZ3">
            <v>2311.65</v>
          </cell>
          <cell r="KA3">
            <v>2557.78</v>
          </cell>
          <cell r="KB3">
            <v>2805.02</v>
          </cell>
          <cell r="KC3">
            <v>3047.56</v>
          </cell>
          <cell r="KD3">
            <v>3298.01</v>
          </cell>
          <cell r="KE3">
            <v>3549.18</v>
          </cell>
          <cell r="KF3">
            <v>3801.64</v>
          </cell>
          <cell r="KG3">
            <v>4055.59</v>
          </cell>
          <cell r="KH3">
            <v>4310.68</v>
          </cell>
          <cell r="KI3">
            <v>4562.02</v>
          </cell>
          <cell r="KJ3">
            <v>4807.02</v>
          </cell>
          <cell r="KK3">
            <v>5058.64</v>
          </cell>
          <cell r="KL3">
            <v>5311.69</v>
          </cell>
          <cell r="KM3">
            <v>5560.18</v>
          </cell>
          <cell r="KN3">
            <v>5806.45</v>
          </cell>
          <cell r="KO3">
            <v>6053.56</v>
          </cell>
          <cell r="KP3">
            <v>6299.23</v>
          </cell>
          <cell r="KQ3">
            <v>6539.59</v>
          </cell>
          <cell r="KR3">
            <v>6784.84</v>
          </cell>
          <cell r="KS3">
            <v>7031.2</v>
          </cell>
          <cell r="KT3">
            <v>7277.72</v>
          </cell>
          <cell r="KU3">
            <v>7522.88</v>
          </cell>
          <cell r="KV3">
            <v>242.37</v>
          </cell>
          <cell r="KW3">
            <v>483.44</v>
          </cell>
          <cell r="KX3">
            <v>721.18</v>
          </cell>
          <cell r="KY3">
            <v>968.46</v>
          </cell>
          <cell r="KZ3">
            <v>1218.23</v>
          </cell>
          <cell r="LA3">
            <v>1468.21</v>
          </cell>
          <cell r="LB3">
            <v>1718.26</v>
          </cell>
          <cell r="LC3">
            <v>1968.03</v>
          </cell>
          <cell r="LD3">
            <v>2216.44</v>
          </cell>
          <cell r="LE3">
            <v>2458.53</v>
          </cell>
          <cell r="LF3">
            <v>2707.63</v>
          </cell>
          <cell r="LG3">
            <v>2959.35</v>
          </cell>
          <cell r="LH3">
            <v>3212.47</v>
          </cell>
          <cell r="LI3">
            <v>3466.51</v>
          </cell>
          <cell r="LJ3">
            <v>3722.5</v>
          </cell>
          <cell r="LK3">
            <v>3975.21</v>
          </cell>
          <cell r="LL3">
            <v>4223.12</v>
          </cell>
          <cell r="LM3">
            <v>4479.02</v>
          </cell>
          <cell r="LN3">
            <v>4737.53</v>
          </cell>
          <cell r="LO3">
            <v>4995.87</v>
          </cell>
          <cell r="LP3">
            <v>5253.77</v>
          </cell>
          <cell r="LQ3">
            <v>5512.01</v>
          </cell>
          <cell r="LR3">
            <v>5768.04</v>
          </cell>
          <cell r="LS3">
            <v>6020.28</v>
          </cell>
          <cell r="LT3">
            <v>6280.76</v>
          </cell>
          <cell r="LU3">
            <v>6545.85</v>
          </cell>
          <cell r="LV3">
            <v>6812.19</v>
          </cell>
          <cell r="LW3">
            <v>7079.28</v>
          </cell>
          <cell r="LX3">
            <v>7344</v>
          </cell>
          <cell r="LY3">
            <v>7602.52</v>
          </cell>
          <cell r="LZ3">
            <v>250.28</v>
          </cell>
          <cell r="MA3">
            <v>510.56</v>
          </cell>
          <cell r="MB3">
            <v>776.18</v>
          </cell>
          <cell r="MC3">
            <v>1043.86</v>
          </cell>
          <cell r="MD3">
            <v>1312.9</v>
          </cell>
          <cell r="ME3">
            <v>1583.53</v>
          </cell>
          <cell r="MF3">
            <v>1853.42</v>
          </cell>
          <cell r="MG3">
            <v>2119.25</v>
          </cell>
          <cell r="MH3">
            <v>2394</v>
          </cell>
          <cell r="MI3">
            <v>2672.16</v>
          </cell>
          <cell r="MJ3">
            <v>2951.4</v>
          </cell>
          <cell r="MK3">
            <v>3233.78</v>
          </cell>
          <cell r="ML3">
            <v>3516.98</v>
          </cell>
          <cell r="MM3">
            <v>3798.5</v>
          </cell>
          <cell r="MN3">
            <v>4072.36</v>
          </cell>
          <cell r="MO3">
            <v>4350.96</v>
          </cell>
          <cell r="MP3">
            <v>4631.84</v>
          </cell>
          <cell r="MQ3">
            <v>4915.11</v>
          </cell>
          <cell r="MR3">
            <v>5202.14</v>
          </cell>
          <cell r="MS3">
            <v>5488.12</v>
          </cell>
          <cell r="MT3">
            <v>5772.26</v>
          </cell>
          <cell r="MU3">
            <v>6053.99</v>
          </cell>
          <cell r="MV3">
            <v>6341.89</v>
          </cell>
          <cell r="MW3">
            <v>6628.72</v>
          </cell>
          <cell r="MX3">
            <v>6914.76</v>
          </cell>
          <cell r="MY3">
            <v>7199.63</v>
          </cell>
          <cell r="MZ3">
            <v>7485.55</v>
          </cell>
          <cell r="NA3">
            <v>7768.16</v>
          </cell>
          <cell r="NB3">
            <v>8046.12</v>
          </cell>
          <cell r="NC3">
            <v>8326.43</v>
          </cell>
          <cell r="ND3">
            <v>8600.68</v>
          </cell>
        </row>
        <row r="4">
          <cell r="C4">
            <v>0.0698</v>
          </cell>
          <cell r="D4">
            <v>0.0963</v>
          </cell>
          <cell r="E4">
            <v>0.1016</v>
          </cell>
          <cell r="F4">
            <v>0.1064</v>
          </cell>
          <cell r="G4">
            <v>0.1104</v>
          </cell>
          <cell r="H4">
            <v>0.1152</v>
          </cell>
          <cell r="I4">
            <v>0.1205</v>
          </cell>
          <cell r="J4">
            <v>0.1322</v>
          </cell>
          <cell r="K4">
            <v>0.1389</v>
          </cell>
          <cell r="L4">
            <v>0.1459</v>
          </cell>
          <cell r="M4">
            <v>0.1511</v>
          </cell>
          <cell r="N4">
            <v>0.1564</v>
          </cell>
          <cell r="O4">
            <v>0.1601</v>
          </cell>
          <cell r="P4">
            <v>0.1608</v>
          </cell>
          <cell r="Q4">
            <v>0.1631</v>
          </cell>
          <cell r="R4">
            <v>0.1658</v>
          </cell>
          <cell r="S4">
            <v>0.1693</v>
          </cell>
          <cell r="T4">
            <v>0.1752</v>
          </cell>
          <cell r="U4">
            <v>0.1839</v>
          </cell>
          <cell r="V4">
            <v>0.1926</v>
          </cell>
          <cell r="W4">
            <v>0.202</v>
          </cell>
          <cell r="X4">
            <v>0.2168</v>
          </cell>
          <cell r="Y4">
            <v>0.2305</v>
          </cell>
          <cell r="Z4">
            <v>0.241</v>
          </cell>
          <cell r="AA4">
            <v>0.2484</v>
          </cell>
          <cell r="AB4">
            <v>0.2538</v>
          </cell>
          <cell r="AC4">
            <v>0.2567</v>
          </cell>
          <cell r="AD4">
            <v>0.2567</v>
          </cell>
          <cell r="AE4">
            <v>0.2563</v>
          </cell>
          <cell r="AF4">
            <v>0.2548</v>
          </cell>
          <cell r="AG4">
            <v>0.2527</v>
          </cell>
          <cell r="AH4">
            <v>0.1476</v>
          </cell>
          <cell r="AI4">
            <v>0.1239</v>
          </cell>
          <cell r="AJ4">
            <v>0.1034</v>
          </cell>
          <cell r="AK4">
            <v>0.0952</v>
          </cell>
          <cell r="AL4">
            <v>0.0943</v>
          </cell>
          <cell r="AM4">
            <v>0.0812</v>
          </cell>
          <cell r="AN4">
            <v>0.0642</v>
          </cell>
          <cell r="AO4">
            <v>0.0439</v>
          </cell>
          <cell r="AP4">
            <v>0.0215</v>
          </cell>
          <cell r="AQ4">
            <v>-0.0046</v>
          </cell>
          <cell r="AR4">
            <v>-0.0267</v>
          </cell>
          <cell r="AS4">
            <v>-0.0442</v>
          </cell>
          <cell r="AT4">
            <v>-0.0631</v>
          </cell>
          <cell r="AU4">
            <v>-0.0791</v>
          </cell>
          <cell r="AV4">
            <v>-0.0906</v>
          </cell>
          <cell r="AW4">
            <v>-0.0992</v>
          </cell>
          <cell r="AX4">
            <v>-0.1053</v>
          </cell>
          <cell r="AY4">
            <v>-0.1074</v>
          </cell>
          <cell r="AZ4">
            <v>-0.1056</v>
          </cell>
          <cell r="BA4">
            <v>-0.1021</v>
          </cell>
          <cell r="BB4">
            <v>-0.0975</v>
          </cell>
          <cell r="BC4">
            <v>-0.0919</v>
          </cell>
          <cell r="BD4">
            <v>-0.0858</v>
          </cell>
          <cell r="BE4">
            <v>-0.0812</v>
          </cell>
          <cell r="BF4">
            <v>-0.0762</v>
          </cell>
          <cell r="BG4">
            <v>-0.0692</v>
          </cell>
          <cell r="BH4">
            <v>-0.0635</v>
          </cell>
          <cell r="BI4">
            <v>-0.0576</v>
          </cell>
          <cell r="BJ4">
            <v>-0.0519</v>
          </cell>
          <cell r="BK4">
            <v>0.1288</v>
          </cell>
          <cell r="BL4">
            <v>0.1092</v>
          </cell>
          <cell r="BM4">
            <v>0.0911</v>
          </cell>
          <cell r="BN4">
            <v>0.0955</v>
          </cell>
          <cell r="BO4">
            <v>0.1067</v>
          </cell>
          <cell r="BP4">
            <v>0.1106</v>
          </cell>
          <cell r="BQ4">
            <v>0.1113</v>
          </cell>
          <cell r="BR4">
            <v>0.1109</v>
          </cell>
          <cell r="BS4">
            <v>0.1092</v>
          </cell>
          <cell r="BT4">
            <v>0.105</v>
          </cell>
          <cell r="BU4">
            <v>0.1028</v>
          </cell>
          <cell r="BV4">
            <v>0.1022</v>
          </cell>
          <cell r="BW4">
            <v>0.1003</v>
          </cell>
          <cell r="BX4">
            <v>0.0983</v>
          </cell>
          <cell r="BY4">
            <v>0.0954</v>
          </cell>
          <cell r="BZ4">
            <v>0.0908</v>
          </cell>
          <cell r="CA4">
            <v>0.0847</v>
          </cell>
          <cell r="CB4">
            <v>0.0822</v>
          </cell>
          <cell r="CC4">
            <v>0.0814</v>
          </cell>
          <cell r="CD4">
            <v>0.0788</v>
          </cell>
          <cell r="CE4">
            <v>0.0765</v>
          </cell>
          <cell r="CF4">
            <v>0.0742</v>
          </cell>
          <cell r="CG4">
            <v>0.0714</v>
          </cell>
          <cell r="CH4">
            <v>0.068</v>
          </cell>
          <cell r="CI4">
            <v>0.0667</v>
          </cell>
          <cell r="CJ4">
            <v>0.0671</v>
          </cell>
          <cell r="CK4">
            <v>0.067</v>
          </cell>
          <cell r="CL4">
            <v>0.0665</v>
          </cell>
          <cell r="CM4">
            <v>0.0661</v>
          </cell>
          <cell r="CN4">
            <v>0.0655</v>
          </cell>
          <cell r="CO4">
            <v>0.0645</v>
          </cell>
          <cell r="CP4">
            <v>0.0762</v>
          </cell>
          <cell r="CQ4">
            <v>0.0888</v>
          </cell>
          <cell r="CR4">
            <v>0.086</v>
          </cell>
          <cell r="CS4">
            <v>0.0601</v>
          </cell>
          <cell r="CT4">
            <v>0.0628</v>
          </cell>
          <cell r="CU4">
            <v>0.0608</v>
          </cell>
          <cell r="CV4">
            <v>0.0596</v>
          </cell>
          <cell r="CW4">
            <v>0.0614</v>
          </cell>
          <cell r="CX4">
            <v>0.0648</v>
          </cell>
          <cell r="CY4">
            <v>0.0655</v>
          </cell>
          <cell r="CZ4">
            <v>0.065</v>
          </cell>
          <cell r="DA4">
            <v>0.0653</v>
          </cell>
          <cell r="DB4">
            <v>0.0649</v>
          </cell>
          <cell r="DC4">
            <v>0.0626</v>
          </cell>
          <cell r="DD4">
            <v>0.064</v>
          </cell>
          <cell r="DE4">
            <v>0.0672</v>
          </cell>
          <cell r="DF4">
            <v>0.0676</v>
          </cell>
          <cell r="DG4">
            <v>0.0667</v>
          </cell>
          <cell r="DH4">
            <v>0.0658</v>
          </cell>
          <cell r="DI4">
            <v>0.0647</v>
          </cell>
          <cell r="DJ4">
            <v>0.0624</v>
          </cell>
          <cell r="DK4">
            <v>0.0624</v>
          </cell>
          <cell r="DL4">
            <v>0.0627</v>
          </cell>
          <cell r="DM4">
            <v>0.0624</v>
          </cell>
          <cell r="DN4">
            <v>0.0626</v>
          </cell>
          <cell r="DO4">
            <v>0.0637</v>
          </cell>
          <cell r="DP4">
            <v>0.0644</v>
          </cell>
          <cell r="DQ4">
            <v>0.0647</v>
          </cell>
          <cell r="DR4">
            <v>0.0665</v>
          </cell>
          <cell r="DS4">
            <v>0.0691</v>
          </cell>
          <cell r="DT4">
            <v>0.0987</v>
          </cell>
          <cell r="DU4">
            <v>0.0827</v>
          </cell>
          <cell r="DV4">
            <v>0.0709</v>
          </cell>
          <cell r="DW4">
            <v>0.0556</v>
          </cell>
          <cell r="DX4">
            <v>0.0478</v>
          </cell>
          <cell r="DY4">
            <v>0.0488</v>
          </cell>
          <cell r="DZ4">
            <v>0.0564</v>
          </cell>
          <cell r="EA4">
            <v>0.0613</v>
          </cell>
          <cell r="EB4">
            <v>0.0637</v>
          </cell>
          <cell r="EC4">
            <v>0.0656</v>
          </cell>
          <cell r="ED4">
            <v>0.0677</v>
          </cell>
          <cell r="EE4">
            <v>0.0666</v>
          </cell>
          <cell r="EF4">
            <v>0.0681</v>
          </cell>
          <cell r="EG4">
            <v>0.0719</v>
          </cell>
          <cell r="EH4">
            <v>0.0719</v>
          </cell>
          <cell r="EI4">
            <v>0.0706</v>
          </cell>
          <cell r="EJ4">
            <v>0.0704</v>
          </cell>
          <cell r="EK4">
            <v>0.0696</v>
          </cell>
          <cell r="EL4">
            <v>0.0669</v>
          </cell>
          <cell r="EM4">
            <v>0.0661</v>
          </cell>
          <cell r="EN4">
            <v>0.0676</v>
          </cell>
          <cell r="EO4">
            <v>0.0684</v>
          </cell>
          <cell r="EP4">
            <v>0.0703</v>
          </cell>
          <cell r="EQ4">
            <v>0.0727</v>
          </cell>
          <cell r="ER4">
            <v>0.0741</v>
          </cell>
          <cell r="ES4">
            <v>0.0737</v>
          </cell>
          <cell r="ET4">
            <v>0.0739</v>
          </cell>
          <cell r="EU4">
            <v>0.074</v>
          </cell>
          <cell r="EV4">
            <v>0.0721</v>
          </cell>
          <cell r="EW4">
            <v>0.0696</v>
          </cell>
          <cell r="EX4">
            <v>0.0675</v>
          </cell>
          <cell r="EY4">
            <v>-0.0029</v>
          </cell>
          <cell r="EZ4">
            <v>-0.0152</v>
          </cell>
          <cell r="FA4">
            <v>0</v>
          </cell>
          <cell r="FB4">
            <v>0.0169</v>
          </cell>
          <cell r="FC4">
            <v>0.0209</v>
          </cell>
          <cell r="FD4">
            <v>0.0234</v>
          </cell>
          <cell r="FE4">
            <v>0.0243</v>
          </cell>
          <cell r="FF4">
            <v>0.0232</v>
          </cell>
          <cell r="FG4">
            <v>0.0176</v>
          </cell>
          <cell r="FH4">
            <v>0.0091</v>
          </cell>
          <cell r="FI4">
            <v>0.0135</v>
          </cell>
          <cell r="FJ4">
            <v>0.0193</v>
          </cell>
          <cell r="FK4">
            <v>0.0261</v>
          </cell>
          <cell r="FL4">
            <v>0.0325</v>
          </cell>
          <cell r="FM4">
            <v>0.0368</v>
          </cell>
          <cell r="FN4">
            <v>0.0377</v>
          </cell>
          <cell r="FO4">
            <v>0.0416</v>
          </cell>
          <cell r="FP4">
            <v>0.0469</v>
          </cell>
          <cell r="FQ4">
            <v>0.05</v>
          </cell>
          <cell r="FR4">
            <v>0.0522</v>
          </cell>
          <cell r="FS4">
            <v>0.0537</v>
          </cell>
          <cell r="FT4">
            <v>0.0591</v>
          </cell>
          <cell r="FU4">
            <v>0.0616</v>
          </cell>
          <cell r="FV4">
            <v>0.0635</v>
          </cell>
          <cell r="FW4">
            <v>0.0643</v>
          </cell>
          <cell r="FX4">
            <v>0.0642</v>
          </cell>
          <cell r="FY4">
            <v>0.0626</v>
          </cell>
          <cell r="FZ4">
            <v>0.0608</v>
          </cell>
          <cell r="GA4">
            <v>0.0589</v>
          </cell>
          <cell r="GB4">
            <v>0.0569</v>
          </cell>
          <cell r="GC4">
            <v>0.0213</v>
          </cell>
          <cell r="GD4">
            <v>0.0195</v>
          </cell>
          <cell r="GE4">
            <v>0.0151</v>
          </cell>
          <cell r="GF4">
            <v>0.0235</v>
          </cell>
          <cell r="GG4">
            <v>0.0318</v>
          </cell>
          <cell r="GH4">
            <v>0.0317</v>
          </cell>
          <cell r="GI4">
            <v>0.0282</v>
          </cell>
          <cell r="GJ4">
            <v>0.0299</v>
          </cell>
          <cell r="GK4">
            <v>0.0319</v>
          </cell>
          <cell r="GL4">
            <v>0.0279</v>
          </cell>
          <cell r="GM4">
            <v>0.022</v>
          </cell>
          <cell r="GN4">
            <v>0.0187</v>
          </cell>
          <cell r="GO4">
            <v>0.0157</v>
          </cell>
          <cell r="GP4">
            <v>0.0118</v>
          </cell>
          <cell r="GQ4">
            <v>0.0126</v>
          </cell>
          <cell r="GR4">
            <v>0.0174</v>
          </cell>
          <cell r="GS4">
            <v>0.0206</v>
          </cell>
          <cell r="GT4">
            <v>0.0237</v>
          </cell>
          <cell r="GU4">
            <v>0.0272</v>
          </cell>
          <cell r="GV4">
            <v>0.0293</v>
          </cell>
          <cell r="GW4">
            <v>0.032</v>
          </cell>
          <cell r="GX4">
            <v>0.0375</v>
          </cell>
          <cell r="GY4">
            <v>0.0436</v>
          </cell>
          <cell r="GZ4">
            <v>0.0471</v>
          </cell>
          <cell r="HA4">
            <v>0.0489</v>
          </cell>
          <cell r="HB4">
            <v>0.0498</v>
          </cell>
          <cell r="HC4">
            <v>0.0494</v>
          </cell>
          <cell r="HD4">
            <v>0.0487</v>
          </cell>
          <cell r="HE4">
            <v>0.0507</v>
          </cell>
          <cell r="HF4">
            <v>0.0539</v>
          </cell>
          <cell r="HG4">
            <v>0.0559</v>
          </cell>
          <cell r="HH4">
            <v>0.1246</v>
          </cell>
          <cell r="HI4">
            <v>0.123</v>
          </cell>
          <cell r="HJ4">
            <v>0.1099</v>
          </cell>
          <cell r="HK4">
            <v>0.0877</v>
          </cell>
          <cell r="HL4">
            <v>0.0837</v>
          </cell>
          <cell r="HM4">
            <v>0.0901</v>
          </cell>
          <cell r="HN4">
            <v>0.092</v>
          </cell>
          <cell r="HO4">
            <v>0.093</v>
          </cell>
          <cell r="HP4">
            <v>0.0923</v>
          </cell>
          <cell r="HQ4">
            <v>0.089</v>
          </cell>
          <cell r="HR4">
            <v>0.0836</v>
          </cell>
          <cell r="HS4">
            <v>0.0837</v>
          </cell>
          <cell r="HT4">
            <v>0.0855</v>
          </cell>
          <cell r="HU4">
            <v>0.0832</v>
          </cell>
          <cell r="HV4">
            <v>0.0803</v>
          </cell>
          <cell r="HW4">
            <v>0.0761</v>
          </cell>
          <cell r="HX4">
            <v>0.0715</v>
          </cell>
          <cell r="HY4">
            <v>0.0659</v>
          </cell>
          <cell r="HZ4">
            <v>0.0633</v>
          </cell>
          <cell r="IA4">
            <v>0.0636</v>
          </cell>
          <cell r="IB4">
            <v>0.0632</v>
          </cell>
          <cell r="IC4">
            <v>0.064</v>
          </cell>
          <cell r="ID4">
            <v>0.0664</v>
          </cell>
          <cell r="IE4">
            <v>0.0693</v>
          </cell>
          <cell r="IF4">
            <v>0.0711</v>
          </cell>
          <cell r="IG4">
            <v>0.0744</v>
          </cell>
          <cell r="IH4">
            <v>0.0781</v>
          </cell>
          <cell r="II4">
            <v>0.0806</v>
          </cell>
          <cell r="IJ4">
            <v>0.0838</v>
          </cell>
          <cell r="IK4">
            <v>0.0877</v>
          </cell>
          <cell r="IL4">
            <v>0.0911</v>
          </cell>
          <cell r="IM4">
            <v>0.1996</v>
          </cell>
          <cell r="IN4">
            <v>0.2118</v>
          </cell>
          <cell r="IO4">
            <v>0.2078</v>
          </cell>
          <cell r="IP4">
            <v>0.1927</v>
          </cell>
          <cell r="IQ4">
            <v>0.1798</v>
          </cell>
          <cell r="IR4">
            <v>0.1634</v>
          </cell>
          <cell r="IS4">
            <v>0.1485</v>
          </cell>
          <cell r="IT4">
            <v>0.1366</v>
          </cell>
          <cell r="IU4">
            <v>0.1351</v>
          </cell>
          <cell r="IV4">
            <v>0.1356</v>
          </cell>
          <cell r="IW4">
            <v>0.1313</v>
          </cell>
          <cell r="IX4">
            <v>0.1293</v>
          </cell>
          <cell r="IY4">
            <v>0.1297</v>
          </cell>
          <cell r="IZ4">
            <v>0.1294</v>
          </cell>
          <cell r="JA4">
            <v>0.1257</v>
          </cell>
          <cell r="JB4">
            <v>0.1196</v>
          </cell>
          <cell r="JC4">
            <v>0.1117</v>
          </cell>
          <cell r="JD4">
            <v>0.1074</v>
          </cell>
          <cell r="JE4">
            <v>0.1052</v>
          </cell>
          <cell r="JF4">
            <v>0.1048</v>
          </cell>
          <cell r="JG4">
            <v>0.1023</v>
          </cell>
          <cell r="JH4">
            <v>0.0977</v>
          </cell>
          <cell r="JI4">
            <v>0.0942</v>
          </cell>
          <cell r="JJ4">
            <v>0.092</v>
          </cell>
          <cell r="JK4">
            <v>0.0895</v>
          </cell>
          <cell r="JL4">
            <v>0.0875</v>
          </cell>
          <cell r="JM4">
            <v>0.086</v>
          </cell>
          <cell r="JN4">
            <v>0.0855</v>
          </cell>
          <cell r="JO4">
            <v>0.0892</v>
          </cell>
          <cell r="JP4">
            <v>0.092</v>
          </cell>
          <cell r="JQ4">
            <v>0.0513</v>
          </cell>
          <cell r="JR4">
            <v>0.0206</v>
          </cell>
          <cell r="JS4">
            <v>0.0062</v>
          </cell>
          <cell r="JT4">
            <v>-0.0027</v>
          </cell>
          <cell r="JU4">
            <v>-0.003</v>
          </cell>
          <cell r="JV4">
            <v>0.0002</v>
          </cell>
          <cell r="JW4">
            <v>0.0062</v>
          </cell>
          <cell r="JX4">
            <v>0.0142</v>
          </cell>
          <cell r="JY4">
            <v>0.0191</v>
          </cell>
          <cell r="JZ4">
            <v>0.0218</v>
          </cell>
          <cell r="KA4">
            <v>0.0249</v>
          </cell>
          <cell r="KB4">
            <v>0.0275</v>
          </cell>
          <cell r="KC4">
            <v>0.0276</v>
          </cell>
          <cell r="KD4">
            <v>0.0312</v>
          </cell>
          <cell r="KE4">
            <v>0.0363</v>
          </cell>
          <cell r="KF4">
            <v>0.0397</v>
          </cell>
          <cell r="KG4">
            <v>0.0423</v>
          </cell>
          <cell r="KH4">
            <v>0.0446</v>
          </cell>
          <cell r="KI4">
            <v>0.0453</v>
          </cell>
          <cell r="KJ4">
            <v>0.0448</v>
          </cell>
          <cell r="KK4">
            <v>0.0466</v>
          </cell>
          <cell r="KL4">
            <v>0.0496</v>
          </cell>
          <cell r="KM4">
            <v>0.0501</v>
          </cell>
          <cell r="KN4">
            <v>0.0495</v>
          </cell>
          <cell r="KO4">
            <v>0.0486</v>
          </cell>
          <cell r="KP4">
            <v>0.0475</v>
          </cell>
          <cell r="KQ4">
            <v>0.0457</v>
          </cell>
          <cell r="KR4">
            <v>0.0455</v>
          </cell>
          <cell r="KS4">
            <v>0.0463</v>
          </cell>
          <cell r="KT4">
            <v>0.0464</v>
          </cell>
          <cell r="KU4">
            <v>0.0463</v>
          </cell>
          <cell r="KV4">
            <v>0.0385</v>
          </cell>
          <cell r="KW4">
            <v>0.0278</v>
          </cell>
          <cell r="KX4">
            <v>0.0148</v>
          </cell>
          <cell r="KY4">
            <v>0.0204</v>
          </cell>
          <cell r="KZ4">
            <v>0.0302</v>
          </cell>
          <cell r="LA4">
            <v>0.0324</v>
          </cell>
          <cell r="LB4">
            <v>0.0331</v>
          </cell>
          <cell r="LC4">
            <v>0.0328</v>
          </cell>
          <cell r="LD4">
            <v>0.0306</v>
          </cell>
          <cell r="LE4">
            <v>0.0245</v>
          </cell>
          <cell r="LF4">
            <v>0.0221</v>
          </cell>
          <cell r="LG4">
            <v>0.023</v>
          </cell>
          <cell r="LH4">
            <v>0.022</v>
          </cell>
          <cell r="LI4">
            <v>0.021</v>
          </cell>
          <cell r="LJ4">
            <v>0.0205</v>
          </cell>
          <cell r="LK4">
            <v>0.0194</v>
          </cell>
          <cell r="LL4">
            <v>0.0172</v>
          </cell>
          <cell r="LM4">
            <v>0.0177</v>
          </cell>
          <cell r="LN4">
            <v>0.0205</v>
          </cell>
          <cell r="LO4">
            <v>0.022</v>
          </cell>
          <cell r="LP4">
            <v>0.0232</v>
          </cell>
          <cell r="LQ4">
            <v>0.0244</v>
          </cell>
          <cell r="LR4">
            <v>0.0242</v>
          </cell>
          <cell r="LS4">
            <v>0.0227</v>
          </cell>
          <cell r="LT4">
            <v>0.0229</v>
          </cell>
          <cell r="LU4">
            <v>0.0248</v>
          </cell>
          <cell r="LV4">
            <v>0.026</v>
          </cell>
          <cell r="LW4">
            <v>0.027</v>
          </cell>
          <cell r="LX4">
            <v>0.0271</v>
          </cell>
          <cell r="LY4">
            <v>0.026</v>
          </cell>
          <cell r="LZ4">
            <v>0.0338</v>
          </cell>
          <cell r="MA4">
            <v>-0.0074</v>
          </cell>
          <cell r="MB4">
            <v>0.015</v>
          </cell>
          <cell r="MC4">
            <v>0.024</v>
          </cell>
          <cell r="MD4">
            <v>0.0295</v>
          </cell>
          <cell r="ME4">
            <v>0.0351</v>
          </cell>
          <cell r="MF4">
            <v>0.0392</v>
          </cell>
          <cell r="MG4">
            <v>0.041</v>
          </cell>
          <cell r="MH4">
            <v>0.0476</v>
          </cell>
          <cell r="MI4">
            <v>0.0549</v>
          </cell>
          <cell r="MJ4">
            <v>0.0565</v>
          </cell>
          <cell r="MK4">
            <v>0.0566</v>
          </cell>
          <cell r="ML4">
            <v>0.0567</v>
          </cell>
          <cell r="MM4">
            <v>0.0567</v>
          </cell>
          <cell r="MN4">
            <v>0.0528</v>
          </cell>
          <cell r="MO4">
            <v>0.0499</v>
          </cell>
          <cell r="MP4">
            <v>0.0479</v>
          </cell>
          <cell r="MQ4">
            <v>0.0443</v>
          </cell>
          <cell r="MR4">
            <v>0.0413</v>
          </cell>
          <cell r="MS4">
            <v>0.0379</v>
          </cell>
          <cell r="MT4">
            <v>0.0335</v>
          </cell>
          <cell r="MU4">
            <v>0.0291</v>
          </cell>
          <cell r="MV4">
            <v>0.0273</v>
          </cell>
          <cell r="MW4">
            <v>0.027</v>
          </cell>
          <cell r="MX4">
            <v>0.0263</v>
          </cell>
          <cell r="MY4">
            <v>0.0261</v>
          </cell>
          <cell r="MZ4">
            <v>0.0265</v>
          </cell>
          <cell r="NA4">
            <v>0.0207</v>
          </cell>
          <cell r="NB4">
            <v>0.0272</v>
          </cell>
          <cell r="NC4">
            <v>0.0291</v>
          </cell>
          <cell r="ND4">
            <v>0.0311</v>
          </cell>
        </row>
        <row r="6">
          <cell r="C6">
            <v>242.48</v>
          </cell>
          <cell r="D6">
            <v>505.09</v>
          </cell>
          <cell r="E6">
            <v>773.94</v>
          </cell>
          <cell r="F6">
            <v>1044.36</v>
          </cell>
          <cell r="G6">
            <v>1312.85</v>
          </cell>
          <cell r="H6">
            <v>1578.42</v>
          </cell>
          <cell r="I6">
            <v>1841.73</v>
          </cell>
          <cell r="J6">
            <v>2113.7</v>
          </cell>
          <cell r="K6">
            <v>2383.53</v>
          </cell>
          <cell r="L6">
            <v>2655.16</v>
          </cell>
          <cell r="M6">
            <v>2926.02</v>
          </cell>
          <cell r="N6">
            <v>3190.05</v>
          </cell>
          <cell r="O6">
            <v>3450.92</v>
          </cell>
          <cell r="P6">
            <v>3706.65</v>
          </cell>
          <cell r="Q6">
            <v>3972.79</v>
          </cell>
          <cell r="R6">
            <v>4243.49</v>
          </cell>
          <cell r="S6">
            <v>4512.08</v>
          </cell>
          <cell r="T6">
            <v>4782.52</v>
          </cell>
          <cell r="U6">
            <v>5055.75</v>
          </cell>
          <cell r="V6">
            <v>5327.62</v>
          </cell>
          <cell r="W6">
            <v>5599.25</v>
          </cell>
          <cell r="X6">
            <v>5887.35</v>
          </cell>
          <cell r="Y6">
            <v>6179.52</v>
          </cell>
          <cell r="Z6">
            <v>6469.96</v>
          </cell>
          <cell r="AA6">
            <v>6753.68</v>
          </cell>
          <cell r="AB6">
            <v>7031.86</v>
          </cell>
          <cell r="AC6">
            <v>7301.56</v>
          </cell>
          <cell r="AD6">
            <v>7563.26</v>
          </cell>
          <cell r="AE6">
            <v>7825.81</v>
          </cell>
          <cell r="AF6">
            <v>8082.61</v>
          </cell>
          <cell r="AG6">
            <v>8334.18</v>
          </cell>
          <cell r="AH6">
            <v>8585.53</v>
          </cell>
          <cell r="AI6">
            <v>8836.5</v>
          </cell>
          <cell r="AJ6">
            <v>9081.55</v>
          </cell>
          <cell r="AK6">
            <v>9325.34</v>
          </cell>
          <cell r="AL6">
            <v>9565.4</v>
          </cell>
          <cell r="AM6">
            <v>9800.2</v>
          </cell>
          <cell r="AN6">
            <v>10028.07</v>
          </cell>
          <cell r="AO6">
            <v>10246.3</v>
          </cell>
          <cell r="AP6">
            <v>10453.68</v>
          </cell>
          <cell r="AQ6">
            <v>10643.43</v>
          </cell>
          <cell r="AR6">
            <v>10827.07</v>
          </cell>
          <cell r="AS6">
            <v>11008.61</v>
          </cell>
          <cell r="AT6">
            <v>11188.38</v>
          </cell>
          <cell r="AU6">
            <v>11370.07</v>
          </cell>
          <cell r="AV6">
            <v>11559.26</v>
          </cell>
          <cell r="AW6">
            <v>11752.81</v>
          </cell>
          <cell r="AX6">
            <v>11950.89</v>
          </cell>
          <cell r="AY6">
            <v>12157.47</v>
          </cell>
          <cell r="AZ6">
            <v>12376.03</v>
          </cell>
          <cell r="BA6">
            <v>12609.14</v>
          </cell>
          <cell r="BB6">
            <v>12854.46</v>
          </cell>
          <cell r="BC6">
            <v>13109.99</v>
          </cell>
          <cell r="BD6">
            <v>13370.99</v>
          </cell>
          <cell r="BE6">
            <v>13625.8</v>
          </cell>
          <cell r="BF6">
            <v>13879.84</v>
          </cell>
          <cell r="BG6">
            <v>14141.88</v>
          </cell>
          <cell r="BH6">
            <v>14403.24</v>
          </cell>
          <cell r="BI6">
            <v>14666.84</v>
          </cell>
          <cell r="BJ6">
            <v>14932.8</v>
          </cell>
          <cell r="BK6">
            <v>15200</v>
          </cell>
          <cell r="BL6">
            <v>15459.83</v>
          </cell>
          <cell r="BM6">
            <v>15711.47</v>
          </cell>
          <cell r="BN6">
            <v>15970.26</v>
          </cell>
          <cell r="BO6">
            <v>16231.4</v>
          </cell>
          <cell r="BP6">
            <v>16491.29</v>
          </cell>
          <cell r="BQ6">
            <v>16748.63</v>
          </cell>
          <cell r="BR6">
            <v>17003.3</v>
          </cell>
          <cell r="BS6">
            <v>17254.31</v>
          </cell>
          <cell r="BT6">
            <v>17499.01</v>
          </cell>
          <cell r="BU6">
            <v>17745.3</v>
          </cell>
          <cell r="BV6">
            <v>17991.76</v>
          </cell>
          <cell r="BW6">
            <v>18239.36</v>
          </cell>
          <cell r="BX6">
            <v>18486.87</v>
          </cell>
          <cell r="BY6">
            <v>18731.7</v>
          </cell>
          <cell r="BZ6">
            <v>18972.11</v>
          </cell>
          <cell r="CA6">
            <v>19208.57</v>
          </cell>
          <cell r="CB6">
            <v>19453.34</v>
          </cell>
          <cell r="CC6">
            <v>19697.63</v>
          </cell>
          <cell r="CD6">
            <v>19938.82</v>
          </cell>
          <cell r="CE6">
            <v>20180.84</v>
          </cell>
          <cell r="CF6">
            <v>20422.6</v>
          </cell>
          <cell r="CG6">
            <v>20661.86</v>
          </cell>
          <cell r="CH6">
            <v>20897.1</v>
          </cell>
          <cell r="CI6">
            <v>21138.83</v>
          </cell>
          <cell r="CJ6">
            <v>21381.23</v>
          </cell>
          <cell r="CK6">
            <v>21625.5</v>
          </cell>
          <cell r="CL6">
            <v>21867.86</v>
          </cell>
          <cell r="CM6">
            <v>22109.51</v>
          </cell>
          <cell r="CN6">
            <v>22348.11</v>
          </cell>
          <cell r="CO6">
            <v>22581.45</v>
          </cell>
          <cell r="CP6">
            <v>22818.7</v>
          </cell>
          <cell r="CQ6">
            <v>23058.14</v>
          </cell>
          <cell r="CR6">
            <v>23297.57</v>
          </cell>
          <cell r="CS6">
            <v>23515.11</v>
          </cell>
          <cell r="CT6">
            <v>23737.79</v>
          </cell>
          <cell r="CU6">
            <v>23969.35</v>
          </cell>
          <cell r="CV6">
            <v>24205.38</v>
          </cell>
          <cell r="CW6">
            <v>24443.04</v>
          </cell>
          <cell r="CX6">
            <v>24680.03</v>
          </cell>
          <cell r="CY6">
            <v>24917.18</v>
          </cell>
          <cell r="CZ6">
            <v>25155.29</v>
          </cell>
          <cell r="DA6">
            <v>25394.76</v>
          </cell>
          <cell r="DB6">
            <v>25633.12</v>
          </cell>
          <cell r="DC6">
            <v>25866.48</v>
          </cell>
          <cell r="DD6">
            <v>26106.99</v>
          </cell>
          <cell r="DE6">
            <v>26348.07</v>
          </cell>
          <cell r="DF6">
            <v>26590.3</v>
          </cell>
          <cell r="DG6">
            <v>26831.37</v>
          </cell>
          <cell r="DH6">
            <v>27070.85</v>
          </cell>
          <cell r="DI6">
            <v>27308.16</v>
          </cell>
          <cell r="DJ6">
            <v>27538.77</v>
          </cell>
          <cell r="DK6">
            <v>27775.27</v>
          </cell>
          <cell r="DL6">
            <v>28013.37</v>
          </cell>
          <cell r="DM6">
            <v>28252.25</v>
          </cell>
          <cell r="DN6">
            <v>28491.94</v>
          </cell>
          <cell r="DO6">
            <v>28733.97</v>
          </cell>
          <cell r="DP6">
            <v>28975.76</v>
          </cell>
          <cell r="DQ6">
            <v>29216.56</v>
          </cell>
          <cell r="DR6">
            <v>29458.05</v>
          </cell>
          <cell r="DS6">
            <v>29694.12</v>
          </cell>
          <cell r="DT6">
            <v>29902.22</v>
          </cell>
          <cell r="DU6">
            <v>30111.91</v>
          </cell>
          <cell r="DV6">
            <v>30331.96</v>
          </cell>
          <cell r="DW6">
            <v>30557.82</v>
          </cell>
          <cell r="DX6">
            <v>30788.04</v>
          </cell>
          <cell r="DY6">
            <v>31026.11</v>
          </cell>
          <cell r="DZ6">
            <v>31266.84</v>
          </cell>
          <cell r="EA6">
            <v>31508.34</v>
          </cell>
          <cell r="EB6">
            <v>31748.52</v>
          </cell>
          <cell r="EC6">
            <v>31989.93</v>
          </cell>
          <cell r="ED6">
            <v>32231.51</v>
          </cell>
          <cell r="EE6">
            <v>32466.34</v>
          </cell>
          <cell r="EF6">
            <v>32706.01</v>
          </cell>
          <cell r="EG6">
            <v>32948.5</v>
          </cell>
          <cell r="EH6">
            <v>33190.6</v>
          </cell>
          <cell r="EI6">
            <v>33433.27</v>
          </cell>
          <cell r="EJ6">
            <v>33681.47</v>
          </cell>
          <cell r="EK6">
            <v>33929.4</v>
          </cell>
          <cell r="EL6">
            <v>34169.82</v>
          </cell>
          <cell r="EM6">
            <v>34414.68</v>
          </cell>
          <cell r="EN6">
            <v>34662.17</v>
          </cell>
          <cell r="EO6">
            <v>34911.87</v>
          </cell>
          <cell r="EP6">
            <v>35165.5</v>
          </cell>
          <cell r="EQ6">
            <v>35420.76</v>
          </cell>
          <cell r="ER6">
            <v>35673.12</v>
          </cell>
          <cell r="ES6">
            <v>35920.58</v>
          </cell>
          <cell r="ET6">
            <v>36170.49</v>
          </cell>
          <cell r="EU6">
            <v>36418.71</v>
          </cell>
          <cell r="EV6">
            <v>36665.05</v>
          </cell>
          <cell r="EW6">
            <v>36911.26</v>
          </cell>
          <cell r="EX6">
            <v>37159.27</v>
          </cell>
          <cell r="EY6">
            <v>37400.96</v>
          </cell>
          <cell r="EZ6">
            <v>37639.85</v>
          </cell>
          <cell r="FA6">
            <v>37888.31</v>
          </cell>
          <cell r="FB6">
            <v>38137.44</v>
          </cell>
          <cell r="FC6">
            <v>38385.38</v>
          </cell>
          <cell r="FD6">
            <v>38634.28</v>
          </cell>
          <cell r="FE6">
            <v>38883.37</v>
          </cell>
          <cell r="FF6">
            <v>39131.31</v>
          </cell>
          <cell r="FG6">
            <v>39373.75</v>
          </cell>
          <cell r="FH6">
            <v>39605.97</v>
          </cell>
          <cell r="FI6">
            <v>39862.3</v>
          </cell>
          <cell r="FJ6">
            <v>40133.59</v>
          </cell>
          <cell r="FK6">
            <v>40413.15</v>
          </cell>
          <cell r="FL6">
            <v>40694.69</v>
          </cell>
          <cell r="FM6">
            <v>40973.46</v>
          </cell>
          <cell r="FN6">
            <v>41240</v>
          </cell>
          <cell r="FO6">
            <v>41512.63</v>
          </cell>
          <cell r="FP6">
            <v>41788.78</v>
          </cell>
          <cell r="FQ6">
            <v>42065.46</v>
          </cell>
          <cell r="FR6">
            <v>42346.1</v>
          </cell>
          <cell r="FS6">
            <v>42626.32</v>
          </cell>
          <cell r="FT6">
            <v>42905.04</v>
          </cell>
          <cell r="FU6">
            <v>43174.98</v>
          </cell>
          <cell r="FV6">
            <v>43449.06</v>
          </cell>
          <cell r="FW6">
            <v>43722.83</v>
          </cell>
          <cell r="FX6">
            <v>43996.53</v>
          </cell>
          <cell r="FY6">
            <v>44269.78</v>
          </cell>
          <cell r="FZ6">
            <v>44545.97</v>
          </cell>
          <cell r="GA6">
            <v>44819.88</v>
          </cell>
          <cell r="GB6">
            <v>45089.97</v>
          </cell>
          <cell r="GC6">
            <v>45362.95</v>
          </cell>
          <cell r="GD6">
            <v>45633.59</v>
          </cell>
          <cell r="GE6">
            <v>45909.31</v>
          </cell>
          <cell r="GF6">
            <v>46191.98</v>
          </cell>
          <cell r="GG6">
            <v>46482.5</v>
          </cell>
          <cell r="GH6">
            <v>46774.17</v>
          </cell>
          <cell r="GI6">
            <v>47063.8</v>
          </cell>
          <cell r="GJ6">
            <v>47362.06</v>
          </cell>
          <cell r="GK6">
            <v>47659.21</v>
          </cell>
          <cell r="GL6">
            <v>47954.3</v>
          </cell>
          <cell r="GM6">
            <v>48246.34</v>
          </cell>
          <cell r="GN6">
            <v>48539.86</v>
          </cell>
          <cell r="GO6">
            <v>48826.12</v>
          </cell>
          <cell r="GP6">
            <v>49104.54</v>
          </cell>
          <cell r="GQ6">
            <v>49395.51</v>
          </cell>
          <cell r="GR6">
            <v>49692.72</v>
          </cell>
          <cell r="GS6">
            <v>49991.5</v>
          </cell>
          <cell r="GT6">
            <v>50294.02</v>
          </cell>
          <cell r="GU6">
            <v>50601.02</v>
          </cell>
          <cell r="GV6">
            <v>50902.32</v>
          </cell>
          <cell r="GW6">
            <v>51206.35</v>
          </cell>
          <cell r="GX6">
            <v>51524.27</v>
          </cell>
          <cell r="GY6">
            <v>51848.91</v>
          </cell>
          <cell r="GZ6">
            <v>52174.19</v>
          </cell>
          <cell r="HA6">
            <v>52488.83</v>
          </cell>
          <cell r="HB6">
            <v>52798.7</v>
          </cell>
          <cell r="HC6">
            <v>53096.51</v>
          </cell>
          <cell r="HD6">
            <v>53383.54</v>
          </cell>
          <cell r="HE6">
            <v>53681.57</v>
          </cell>
          <cell r="HF6">
            <v>53981.97</v>
          </cell>
          <cell r="HG6">
            <v>54286.46</v>
          </cell>
          <cell r="HH6">
            <v>54595.4</v>
          </cell>
          <cell r="HI6">
            <v>54911.56</v>
          </cell>
          <cell r="HJ6">
            <v>55227.5</v>
          </cell>
          <cell r="HK6">
            <v>55534.91</v>
          </cell>
          <cell r="HL6">
            <v>55850.27</v>
          </cell>
          <cell r="HM6">
            <v>56166.99</v>
          </cell>
          <cell r="HN6">
            <v>56483.67</v>
          </cell>
          <cell r="HO6">
            <v>56802.24</v>
          </cell>
          <cell r="HP6">
            <v>57120.41</v>
          </cell>
          <cell r="HQ6">
            <v>57431.87</v>
          </cell>
          <cell r="HR6">
            <v>57734.05</v>
          </cell>
          <cell r="HS6">
            <v>58043.71</v>
          </cell>
          <cell r="HT6">
            <v>58351.25</v>
          </cell>
          <cell r="HU6">
            <v>58655.92</v>
          </cell>
          <cell r="HV6">
            <v>58958.16</v>
          </cell>
          <cell r="HW6">
            <v>59258.68</v>
          </cell>
          <cell r="HX6">
            <v>59555.57</v>
          </cell>
          <cell r="HY6">
            <v>59841.99</v>
          </cell>
          <cell r="HZ6">
            <v>60134.53</v>
          </cell>
          <cell r="IA6">
            <v>60430.34</v>
          </cell>
          <cell r="IB6">
            <v>60726.97</v>
          </cell>
          <cell r="IC6">
            <v>61031.87</v>
          </cell>
          <cell r="ID6">
            <v>61344.91</v>
          </cell>
          <cell r="IE6">
            <v>61656.93</v>
          </cell>
          <cell r="IF6">
            <v>61961.47</v>
          </cell>
          <cell r="IG6">
            <v>62268.08</v>
          </cell>
          <cell r="IH6">
            <v>62567</v>
          </cell>
          <cell r="II6">
            <v>62861.41</v>
          </cell>
          <cell r="IJ6">
            <v>63157.22</v>
          </cell>
          <cell r="IK6">
            <v>63458.7</v>
          </cell>
          <cell r="IL6">
            <v>63759.81</v>
          </cell>
          <cell r="IM6">
            <v>64057.13</v>
          </cell>
          <cell r="IN6">
            <v>64358.05</v>
          </cell>
          <cell r="IO6">
            <v>64654.38</v>
          </cell>
          <cell r="IP6">
            <v>64955.84</v>
          </cell>
          <cell r="IQ6">
            <v>65257.47</v>
          </cell>
          <cell r="IR6">
            <v>65550.12</v>
          </cell>
          <cell r="IS6">
            <v>65836.91</v>
          </cell>
          <cell r="IT6">
            <v>66121</v>
          </cell>
          <cell r="IU6">
            <v>66417.39</v>
          </cell>
          <cell r="IV6">
            <v>66709.39</v>
          </cell>
          <cell r="IW6">
            <v>66994.65</v>
          </cell>
          <cell r="IX6">
            <v>67279.06</v>
          </cell>
          <cell r="IY6">
            <v>67565.6</v>
          </cell>
          <cell r="IZ6">
            <v>67848.4</v>
          </cell>
          <cell r="JA6">
            <v>68118.77</v>
          </cell>
          <cell r="JB6">
            <v>68376.07</v>
          </cell>
          <cell r="JC6">
            <v>68621.76</v>
          </cell>
          <cell r="JD6">
            <v>68895.13</v>
          </cell>
          <cell r="JE6">
            <v>69179.61</v>
          </cell>
          <cell r="JF6">
            <v>69465.2</v>
          </cell>
          <cell r="JG6">
            <v>69731.54</v>
          </cell>
          <cell r="JH6">
            <v>69982.05</v>
          </cell>
          <cell r="JI6">
            <v>70231.97</v>
          </cell>
          <cell r="JJ6">
            <v>70484.14</v>
          </cell>
          <cell r="JK6">
            <v>70740.96</v>
          </cell>
          <cell r="JL6">
            <v>71001.83</v>
          </cell>
          <cell r="JM6">
            <v>71265.42</v>
          </cell>
          <cell r="JN6">
            <v>71529.03</v>
          </cell>
          <cell r="JO6">
            <v>71794.53</v>
          </cell>
          <cell r="JP6">
            <v>72049.38</v>
          </cell>
          <cell r="JQ6">
            <v>72268.06</v>
          </cell>
          <cell r="JR6">
            <v>72477.9</v>
          </cell>
          <cell r="JS6">
            <v>72692.26</v>
          </cell>
          <cell r="JT6">
            <v>72915.73</v>
          </cell>
          <cell r="JU6">
            <v>73147.69</v>
          </cell>
          <cell r="JV6">
            <v>73384.79</v>
          </cell>
          <cell r="JW6">
            <v>73627.16</v>
          </cell>
          <cell r="JX6">
            <v>73872.81</v>
          </cell>
          <cell r="JY6">
            <v>74117.64</v>
          </cell>
          <cell r="JZ6">
            <v>74361.04</v>
          </cell>
          <cell r="KA6">
            <v>74607.16</v>
          </cell>
          <cell r="KB6">
            <v>74854.4</v>
          </cell>
          <cell r="KC6">
            <v>75096.95</v>
          </cell>
          <cell r="KD6">
            <v>75347.39</v>
          </cell>
          <cell r="KE6">
            <v>75598.57</v>
          </cell>
          <cell r="KF6">
            <v>75851.02</v>
          </cell>
          <cell r="KG6">
            <v>76104.97</v>
          </cell>
          <cell r="KH6">
            <v>76360.06</v>
          </cell>
          <cell r="KI6">
            <v>76611.4</v>
          </cell>
          <cell r="KJ6">
            <v>76856.4</v>
          </cell>
          <cell r="KK6">
            <v>77108.02</v>
          </cell>
          <cell r="KL6">
            <v>77361.08</v>
          </cell>
          <cell r="KM6">
            <v>77609.56</v>
          </cell>
          <cell r="KN6">
            <v>77855.83</v>
          </cell>
          <cell r="KO6">
            <v>78102.94</v>
          </cell>
          <cell r="KP6">
            <v>78348.61</v>
          </cell>
          <cell r="KQ6">
            <v>78588.98</v>
          </cell>
          <cell r="KR6">
            <v>78834.22</v>
          </cell>
          <cell r="KS6">
            <v>79080.58</v>
          </cell>
          <cell r="KT6">
            <v>79327.1</v>
          </cell>
          <cell r="KU6">
            <v>79572.26</v>
          </cell>
          <cell r="KV6">
            <v>79814.63</v>
          </cell>
          <cell r="KW6">
            <v>80055.7</v>
          </cell>
          <cell r="KX6">
            <v>80293.44</v>
          </cell>
          <cell r="KY6">
            <v>80540.72</v>
          </cell>
          <cell r="KZ6">
            <v>80790.5</v>
          </cell>
          <cell r="LA6">
            <v>81040.47</v>
          </cell>
          <cell r="LB6">
            <v>81290.52</v>
          </cell>
          <cell r="LC6">
            <v>81540.29</v>
          </cell>
          <cell r="LD6">
            <v>81788.71</v>
          </cell>
          <cell r="LE6">
            <v>82030.79</v>
          </cell>
          <cell r="LF6">
            <v>82279.89</v>
          </cell>
          <cell r="LG6">
            <v>82531.61</v>
          </cell>
          <cell r="LH6">
            <v>82784.73</v>
          </cell>
          <cell r="LI6">
            <v>83038.77</v>
          </cell>
          <cell r="LJ6">
            <v>83294.76</v>
          </cell>
          <cell r="LK6">
            <v>83547.47</v>
          </cell>
          <cell r="LL6">
            <v>83795.38</v>
          </cell>
          <cell r="LM6">
            <v>84051.28</v>
          </cell>
          <cell r="LN6">
            <v>84309.79</v>
          </cell>
          <cell r="LO6">
            <v>84568.13</v>
          </cell>
          <cell r="LP6">
            <v>84826.03</v>
          </cell>
          <cell r="LQ6">
            <v>85084.27</v>
          </cell>
          <cell r="LR6">
            <v>85340.31</v>
          </cell>
          <cell r="LS6">
            <v>85592.54</v>
          </cell>
          <cell r="LT6">
            <v>85853.03</v>
          </cell>
          <cell r="LU6">
            <v>86118.11</v>
          </cell>
          <cell r="LV6">
            <v>86384.45</v>
          </cell>
          <cell r="LW6">
            <v>86651.54</v>
          </cell>
          <cell r="LX6">
            <v>86916.26</v>
          </cell>
          <cell r="LY6">
            <v>87174.78</v>
          </cell>
          <cell r="LZ6">
            <v>87425.07</v>
          </cell>
          <cell r="MA6">
            <v>87685.34</v>
          </cell>
          <cell r="MB6">
            <v>87950.97</v>
          </cell>
          <cell r="MC6">
            <v>88218.64</v>
          </cell>
          <cell r="MD6">
            <v>88487.68</v>
          </cell>
          <cell r="ME6">
            <v>88758.31</v>
          </cell>
          <cell r="MF6">
            <v>89028.2</v>
          </cell>
          <cell r="MG6">
            <v>89294.03</v>
          </cell>
          <cell r="MH6">
            <v>89568.79</v>
          </cell>
          <cell r="MI6">
            <v>89846.94</v>
          </cell>
          <cell r="MJ6">
            <v>90126.19</v>
          </cell>
          <cell r="MK6">
            <v>90408.56</v>
          </cell>
          <cell r="ML6">
            <v>90691.76</v>
          </cell>
          <cell r="MM6">
            <v>90973.29</v>
          </cell>
          <cell r="MN6">
            <v>91247.14</v>
          </cell>
          <cell r="MO6">
            <v>91525.75</v>
          </cell>
          <cell r="MP6">
            <v>91806.62</v>
          </cell>
          <cell r="MQ6">
            <v>92089.9</v>
          </cell>
          <cell r="MR6">
            <v>92376.92</v>
          </cell>
          <cell r="MS6">
            <v>92662.9</v>
          </cell>
          <cell r="MT6">
            <v>92947.05</v>
          </cell>
          <cell r="MU6">
            <v>93228.77</v>
          </cell>
          <cell r="MV6">
            <v>93516.67</v>
          </cell>
          <cell r="MW6">
            <v>93803.5</v>
          </cell>
          <cell r="MX6">
            <v>94089.55</v>
          </cell>
          <cell r="MY6">
            <v>94374.41</v>
          </cell>
          <cell r="MZ6">
            <v>94660.33</v>
          </cell>
          <cell r="NA6">
            <v>94942.94</v>
          </cell>
          <cell r="NB6">
            <v>95220.9</v>
          </cell>
          <cell r="NC6">
            <v>95501.21</v>
          </cell>
          <cell r="ND6">
            <v>95775.46</v>
          </cell>
        </row>
        <row r="7">
          <cell r="C7">
            <v>0.0698</v>
          </cell>
          <cell r="D7">
            <v>0.0963</v>
          </cell>
          <cell r="E7">
            <v>0.1016</v>
          </cell>
          <cell r="F7">
            <v>0.1064</v>
          </cell>
          <cell r="G7">
            <v>0.1104</v>
          </cell>
          <cell r="H7">
            <v>0.1152</v>
          </cell>
          <cell r="I7">
            <v>0.1205</v>
          </cell>
          <cell r="J7">
            <v>0.1322</v>
          </cell>
          <cell r="K7">
            <v>0.1389</v>
          </cell>
          <cell r="L7">
            <v>0.1459</v>
          </cell>
          <cell r="M7">
            <v>0.1511</v>
          </cell>
          <cell r="N7">
            <v>0.1564</v>
          </cell>
          <cell r="O7">
            <v>0.1601</v>
          </cell>
          <cell r="P7">
            <v>0.1608</v>
          </cell>
          <cell r="Q7">
            <v>0.1631</v>
          </cell>
          <cell r="R7">
            <v>0.1658</v>
          </cell>
          <cell r="S7">
            <v>0.1693</v>
          </cell>
          <cell r="T7">
            <v>0.1752</v>
          </cell>
          <cell r="U7">
            <v>0.1839</v>
          </cell>
          <cell r="V7">
            <v>0.1926</v>
          </cell>
          <cell r="W7">
            <v>0.202</v>
          </cell>
          <cell r="X7">
            <v>0.2168</v>
          </cell>
          <cell r="Y7">
            <v>0.2305</v>
          </cell>
          <cell r="Z7">
            <v>0.241</v>
          </cell>
          <cell r="AA7">
            <v>0.2484</v>
          </cell>
          <cell r="AB7">
            <v>0.2538</v>
          </cell>
          <cell r="AC7">
            <v>0.2567</v>
          </cell>
          <cell r="AD7">
            <v>0.2567</v>
          </cell>
          <cell r="AE7">
            <v>0.2563</v>
          </cell>
          <cell r="AF7">
            <v>0.2548</v>
          </cell>
          <cell r="AG7">
            <v>0.2527</v>
          </cell>
          <cell r="AH7">
            <v>0.2493</v>
          </cell>
          <cell r="AI7">
            <v>0.2445</v>
          </cell>
          <cell r="AJ7">
            <v>0.2389</v>
          </cell>
          <cell r="AK7">
            <v>0.2338</v>
          </cell>
          <cell r="AL7">
            <v>0.2297</v>
          </cell>
          <cell r="AM7">
            <v>0.2236</v>
          </cell>
          <cell r="AN7">
            <v>0.2163</v>
          </cell>
          <cell r="AO7">
            <v>0.2076</v>
          </cell>
          <cell r="AP7">
            <v>0.1977</v>
          </cell>
          <cell r="AQ7">
            <v>0.1861</v>
          </cell>
          <cell r="AR7">
            <v>0.175</v>
          </cell>
          <cell r="AS7">
            <v>0.1648</v>
          </cell>
          <cell r="AT7">
            <v>0.1535</v>
          </cell>
          <cell r="AU7">
            <v>0.1427</v>
          </cell>
          <cell r="AV7">
            <v>0.1333</v>
          </cell>
          <cell r="AW7">
            <v>0.1248</v>
          </cell>
          <cell r="AX7">
            <v>0.1174</v>
          </cell>
          <cell r="AY7">
            <v>0.1116</v>
          </cell>
          <cell r="AZ7">
            <v>0.1078</v>
          </cell>
          <cell r="BA7">
            <v>0.1047</v>
          </cell>
          <cell r="BB7">
            <v>0.1022</v>
          </cell>
          <cell r="BC7">
            <v>0.1005</v>
          </cell>
          <cell r="BD7">
            <v>0.0993</v>
          </cell>
          <cell r="BE7">
            <v>0.0978</v>
          </cell>
          <cell r="BF7">
            <v>0.0967</v>
          </cell>
          <cell r="BG7">
            <v>0.0969</v>
          </cell>
          <cell r="BH7">
            <v>0.0967</v>
          </cell>
          <cell r="BI7">
            <v>0.0968</v>
          </cell>
          <cell r="BJ7">
            <v>0.1166</v>
          </cell>
          <cell r="BK7">
            <v>0.1169</v>
          </cell>
          <cell r="BL7">
            <v>0.1164</v>
          </cell>
          <cell r="BM7">
            <v>0.1153</v>
          </cell>
          <cell r="BN7">
            <v>0.1152</v>
          </cell>
          <cell r="BO7">
            <v>0.1158</v>
          </cell>
          <cell r="BP7">
            <v>0.1161</v>
          </cell>
          <cell r="BQ7">
            <v>0.1161</v>
          </cell>
          <cell r="BR7">
            <v>0.1159</v>
          </cell>
          <cell r="BS7">
            <v>0.1156</v>
          </cell>
          <cell r="BT7">
            <v>0.1149</v>
          </cell>
          <cell r="BU7">
            <v>0.1144</v>
          </cell>
          <cell r="BV7">
            <v>0.1142</v>
          </cell>
          <cell r="BW7">
            <v>0.1136</v>
          </cell>
          <cell r="BX7">
            <v>0.1131</v>
          </cell>
          <cell r="BY7">
            <v>0.1123</v>
          </cell>
          <cell r="BZ7">
            <v>0.111</v>
          </cell>
          <cell r="CA7">
            <v>0.1094</v>
          </cell>
          <cell r="CB7">
            <v>0.1084</v>
          </cell>
          <cell r="CC7">
            <v>0.1079</v>
          </cell>
          <cell r="CD7">
            <v>0.1069</v>
          </cell>
          <cell r="CE7">
            <v>0.1059</v>
          </cell>
          <cell r="CF7">
            <v>0.1049</v>
          </cell>
          <cell r="CG7">
            <v>0.1037</v>
          </cell>
          <cell r="CH7">
            <v>0.1023</v>
          </cell>
          <cell r="CI7">
            <v>0.1015</v>
          </cell>
          <cell r="CJ7">
            <v>0.1012</v>
          </cell>
          <cell r="CK7">
            <v>0.1008</v>
          </cell>
          <cell r="CL7">
            <v>0.1002</v>
          </cell>
          <cell r="CM7">
            <v>0.0997</v>
          </cell>
          <cell r="CN7">
            <v>0.0991</v>
          </cell>
          <cell r="CO7">
            <v>0.0984</v>
          </cell>
          <cell r="CP7">
            <v>0.0982</v>
          </cell>
          <cell r="CQ7">
            <v>0.0982</v>
          </cell>
          <cell r="CR7">
            <v>0.098</v>
          </cell>
          <cell r="CS7">
            <v>0.0969</v>
          </cell>
          <cell r="CT7">
            <v>0.0966</v>
          </cell>
          <cell r="CU7">
            <v>0.0962</v>
          </cell>
          <cell r="CV7">
            <v>0.0957</v>
          </cell>
          <cell r="CW7">
            <v>0.0955</v>
          </cell>
          <cell r="CX7">
            <v>0.0955</v>
          </cell>
          <cell r="CY7">
            <v>0.0953</v>
          </cell>
          <cell r="CZ7">
            <v>0.0949</v>
          </cell>
          <cell r="DA7">
            <v>0.0947</v>
          </cell>
          <cell r="DB7">
            <v>0.0943</v>
          </cell>
          <cell r="DC7">
            <v>0.0937</v>
          </cell>
          <cell r="DD7">
            <v>0.0937</v>
          </cell>
          <cell r="DE7">
            <v>0.0939</v>
          </cell>
          <cell r="DF7">
            <v>0.0937</v>
          </cell>
          <cell r="DG7">
            <v>0.0933</v>
          </cell>
          <cell r="DH7">
            <v>0.0929</v>
          </cell>
          <cell r="DI7">
            <v>0.0924</v>
          </cell>
          <cell r="DJ7">
            <v>0.0918</v>
          </cell>
          <cell r="DK7">
            <v>0.0915</v>
          </cell>
          <cell r="DL7">
            <v>0.0913</v>
          </cell>
          <cell r="DM7">
            <v>0.091</v>
          </cell>
          <cell r="DN7">
            <v>0.0908</v>
          </cell>
          <cell r="DO7">
            <v>0.0908</v>
          </cell>
          <cell r="DP7">
            <v>0.0907</v>
          </cell>
          <cell r="DQ7">
            <v>0.0906</v>
          </cell>
          <cell r="DR7">
            <v>0.0908</v>
          </cell>
          <cell r="DS7">
            <v>0.0913</v>
          </cell>
          <cell r="DT7">
            <v>0.0913</v>
          </cell>
          <cell r="DU7">
            <v>0.0911</v>
          </cell>
          <cell r="DV7">
            <v>0.0908</v>
          </cell>
          <cell r="DW7">
            <v>0.0902</v>
          </cell>
          <cell r="DX7">
            <v>0.0897</v>
          </cell>
          <cell r="DY7">
            <v>0.0894</v>
          </cell>
          <cell r="DZ7">
            <v>0.0895</v>
          </cell>
          <cell r="EA7">
            <v>0.0895</v>
          </cell>
          <cell r="EB7">
            <v>0.0894</v>
          </cell>
          <cell r="EC7">
            <v>0.0894</v>
          </cell>
          <cell r="ED7">
            <v>0.0894</v>
          </cell>
          <cell r="EE7">
            <v>0.0891</v>
          </cell>
          <cell r="EF7">
            <v>0.0891</v>
          </cell>
          <cell r="EG7">
            <v>0.0893</v>
          </cell>
          <cell r="EH7">
            <v>0.0892</v>
          </cell>
          <cell r="EI7">
            <v>0.0889</v>
          </cell>
          <cell r="EJ7">
            <v>0.0887</v>
          </cell>
          <cell r="EK7">
            <v>0.0885</v>
          </cell>
          <cell r="EL7">
            <v>0.088</v>
          </cell>
          <cell r="EM7">
            <v>0.0877</v>
          </cell>
          <cell r="EN7">
            <v>0.0878</v>
          </cell>
          <cell r="EO7">
            <v>0.0878</v>
          </cell>
          <cell r="EP7">
            <v>0.088</v>
          </cell>
          <cell r="EQ7">
            <v>0.0882</v>
          </cell>
          <cell r="ER7">
            <v>0.0883</v>
          </cell>
          <cell r="ES7">
            <v>0.0882</v>
          </cell>
          <cell r="ET7">
            <v>0.0881</v>
          </cell>
          <cell r="EU7">
            <v>0.088</v>
          </cell>
          <cell r="EV7">
            <v>0.0876</v>
          </cell>
          <cell r="EW7">
            <v>0.087</v>
          </cell>
          <cell r="EX7">
            <v>0.0864</v>
          </cell>
          <cell r="EY7">
            <v>0.0858</v>
          </cell>
          <cell r="EZ7">
            <v>0.085</v>
          </cell>
          <cell r="FA7">
            <v>0.0846</v>
          </cell>
          <cell r="FB7">
            <v>0.0845</v>
          </cell>
          <cell r="FC7">
            <v>0.0842</v>
          </cell>
          <cell r="FD7">
            <v>0.0839</v>
          </cell>
          <cell r="FE7">
            <v>0.0835</v>
          </cell>
          <cell r="FF7">
            <v>0.083</v>
          </cell>
          <cell r="FG7">
            <v>0.0823</v>
          </cell>
          <cell r="FH7">
            <v>0.0813</v>
          </cell>
          <cell r="FI7">
            <v>0.0811</v>
          </cell>
          <cell r="FJ7">
            <v>0.0811</v>
          </cell>
          <cell r="FK7">
            <v>0.0813</v>
          </cell>
          <cell r="FL7">
            <v>0.0815</v>
          </cell>
          <cell r="FM7">
            <v>0.0816</v>
          </cell>
          <cell r="FN7">
            <v>0.0814</v>
          </cell>
          <cell r="FO7">
            <v>0.0815</v>
          </cell>
          <cell r="FP7">
            <v>0.0819</v>
          </cell>
          <cell r="FQ7">
            <v>0.082</v>
          </cell>
          <cell r="FR7">
            <v>0.0821</v>
          </cell>
          <cell r="FS7">
            <v>0.0821</v>
          </cell>
          <cell r="FT7">
            <v>0.0827</v>
          </cell>
          <cell r="FU7">
            <v>0.0829</v>
          </cell>
          <cell r="FV7">
            <v>0.083</v>
          </cell>
          <cell r="FW7">
            <v>0.083</v>
          </cell>
          <cell r="FX7">
            <v>0.0829</v>
          </cell>
          <cell r="FY7">
            <v>0.0825</v>
          </cell>
          <cell r="FZ7">
            <v>0.0821</v>
          </cell>
          <cell r="GA7">
            <v>0.0816</v>
          </cell>
          <cell r="GB7">
            <v>0.0811</v>
          </cell>
          <cell r="GC7">
            <v>0.0807</v>
          </cell>
          <cell r="GD7">
            <v>0.0803</v>
          </cell>
          <cell r="GE7">
            <v>0.0799</v>
          </cell>
          <cell r="GF7">
            <v>0.0797</v>
          </cell>
          <cell r="GG7">
            <v>0.0796</v>
          </cell>
          <cell r="GH7">
            <v>0.0792</v>
          </cell>
          <cell r="GI7">
            <v>0.0788</v>
          </cell>
          <cell r="GJ7">
            <v>0.0785</v>
          </cell>
          <cell r="GK7">
            <v>0.0783</v>
          </cell>
          <cell r="GL7">
            <v>0.0778</v>
          </cell>
          <cell r="GM7">
            <v>0.077</v>
          </cell>
          <cell r="GN7">
            <v>0.0764</v>
          </cell>
          <cell r="GO7">
            <v>0.0758</v>
          </cell>
          <cell r="GP7">
            <v>0.0751</v>
          </cell>
          <cell r="GQ7">
            <v>0.0748</v>
          </cell>
          <cell r="GR7">
            <v>0.0749</v>
          </cell>
          <cell r="GS7">
            <v>0.0749</v>
          </cell>
          <cell r="GT7">
            <v>0.0749</v>
          </cell>
          <cell r="GU7">
            <v>0.075</v>
          </cell>
          <cell r="GV7">
            <v>0.0749</v>
          </cell>
          <cell r="GW7">
            <v>0.075</v>
          </cell>
          <cell r="GX7">
            <v>0.0755</v>
          </cell>
          <cell r="GY7">
            <v>0.0761</v>
          </cell>
          <cell r="GZ7">
            <v>0.0764</v>
          </cell>
          <cell r="HA7">
            <v>0.0764</v>
          </cell>
          <cell r="HB7">
            <v>0.0764</v>
          </cell>
          <cell r="HC7">
            <v>0.0762</v>
          </cell>
          <cell r="HD7">
            <v>0.0759</v>
          </cell>
          <cell r="HE7">
            <v>0.0761</v>
          </cell>
          <cell r="HF7">
            <v>0.0765</v>
          </cell>
          <cell r="HG7">
            <v>0.0767</v>
          </cell>
          <cell r="HH7">
            <v>0.077</v>
          </cell>
          <cell r="HI7">
            <v>0.0722</v>
          </cell>
          <cell r="HJ7">
            <v>0.0773</v>
          </cell>
          <cell r="HK7">
            <v>0.077</v>
          </cell>
          <cell r="HL7">
            <v>0.0769</v>
          </cell>
          <cell r="HM7">
            <v>0.0772</v>
          </cell>
          <cell r="HN7">
            <v>0.0773</v>
          </cell>
          <cell r="HO7">
            <v>0.0775</v>
          </cell>
          <cell r="HP7">
            <v>0.0775</v>
          </cell>
          <cell r="HQ7">
            <v>0.0774</v>
          </cell>
          <cell r="HR7">
            <v>0.0772</v>
          </cell>
          <cell r="HS7">
            <v>0.0772</v>
          </cell>
          <cell r="HT7">
            <v>0.0774</v>
          </cell>
          <cell r="HU7">
            <v>0.0772</v>
          </cell>
          <cell r="HV7">
            <v>0.077</v>
          </cell>
          <cell r="HW7">
            <v>0.0767</v>
          </cell>
          <cell r="HX7">
            <v>0.0763</v>
          </cell>
          <cell r="HY7">
            <v>0.0757</v>
          </cell>
          <cell r="HZ7">
            <v>0.0754</v>
          </cell>
          <cell r="IA7">
            <v>0.0754</v>
          </cell>
          <cell r="IB7">
            <v>0.0753</v>
          </cell>
          <cell r="IC7">
            <v>0.0753</v>
          </cell>
          <cell r="ID7">
            <v>0.0755</v>
          </cell>
          <cell r="IE7">
            <v>0.0759</v>
          </cell>
          <cell r="IF7">
            <v>0.076</v>
          </cell>
          <cell r="IG7">
            <v>0.0764</v>
          </cell>
          <cell r="IH7">
            <v>0.0769</v>
          </cell>
          <cell r="II7">
            <v>0.0773</v>
          </cell>
          <cell r="IJ7">
            <v>0.0777</v>
          </cell>
          <cell r="IK7">
            <v>0.0783</v>
          </cell>
          <cell r="IL7">
            <v>0.0789</v>
          </cell>
          <cell r="IM7">
            <v>0.0794</v>
          </cell>
          <cell r="IN7">
            <v>0.08</v>
          </cell>
          <cell r="IO7">
            <v>0.0805</v>
          </cell>
          <cell r="IP7">
            <v>0.0808</v>
          </cell>
          <cell r="IQ7">
            <v>0.081</v>
          </cell>
          <cell r="IR7">
            <v>0.081</v>
          </cell>
          <cell r="IS7">
            <v>0.0809</v>
          </cell>
          <cell r="IT7">
            <v>0.0808</v>
          </cell>
          <cell r="IU7">
            <v>0.081</v>
          </cell>
          <cell r="IV7">
            <v>0.0813</v>
          </cell>
          <cell r="IW7">
            <v>0.0813</v>
          </cell>
          <cell r="IX7">
            <v>0.0814</v>
          </cell>
          <cell r="IY7">
            <v>0.0816</v>
          </cell>
          <cell r="IZ7">
            <v>0.0818</v>
          </cell>
          <cell r="JA7">
            <v>0.0817</v>
          </cell>
          <cell r="JB7">
            <v>0.0815</v>
          </cell>
          <cell r="JC7">
            <v>0.0811</v>
          </cell>
          <cell r="JD7">
            <v>0.0809</v>
          </cell>
          <cell r="JE7">
            <v>0.0809</v>
          </cell>
          <cell r="JF7">
            <v>0.0809</v>
          </cell>
          <cell r="JG7">
            <v>0.0808</v>
          </cell>
          <cell r="JH7">
            <v>0.0805</v>
          </cell>
          <cell r="JI7">
            <v>0.0803</v>
          </cell>
          <cell r="JJ7">
            <v>0.0801</v>
          </cell>
          <cell r="JK7">
            <v>0.0799</v>
          </cell>
          <cell r="JL7">
            <v>0.0797</v>
          </cell>
          <cell r="JM7">
            <v>0.0796</v>
          </cell>
          <cell r="JN7">
            <v>0.0796</v>
          </cell>
          <cell r="JO7">
            <v>0.08</v>
          </cell>
          <cell r="JP7">
            <v>0.0804</v>
          </cell>
          <cell r="JQ7">
            <v>0.0803</v>
          </cell>
          <cell r="JR7">
            <v>0.08</v>
          </cell>
          <cell r="JS7">
            <v>0.0797</v>
          </cell>
          <cell r="JT7">
            <v>0.0793</v>
          </cell>
          <cell r="JU7">
            <v>0.079</v>
          </cell>
          <cell r="JV7">
            <v>0.0788</v>
          </cell>
          <cell r="JW7">
            <v>0.0787</v>
          </cell>
          <cell r="JX7">
            <v>0.0786</v>
          </cell>
          <cell r="JY7">
            <v>0.0785</v>
          </cell>
          <cell r="JZ7">
            <v>0.0784</v>
          </cell>
          <cell r="KA7">
            <v>0.0784</v>
          </cell>
          <cell r="KB7">
            <v>0.0783</v>
          </cell>
          <cell r="KC7">
            <v>0.0781</v>
          </cell>
          <cell r="KD7">
            <v>0.0781</v>
          </cell>
          <cell r="KE7">
            <v>0.0782</v>
          </cell>
          <cell r="KF7">
            <v>0.0782</v>
          </cell>
          <cell r="KG7">
            <v>0.0783</v>
          </cell>
          <cell r="KH7">
            <v>0.0783</v>
          </cell>
          <cell r="KI7">
            <v>0.0782</v>
          </cell>
          <cell r="KJ7">
            <v>0.0781</v>
          </cell>
          <cell r="KK7">
            <v>0.0781</v>
          </cell>
          <cell r="KL7">
            <v>0.0782</v>
          </cell>
          <cell r="KM7">
            <v>0.0781</v>
          </cell>
          <cell r="KN7">
            <v>0.078</v>
          </cell>
          <cell r="KO7">
            <v>0.0778</v>
          </cell>
          <cell r="KP7">
            <v>0.0776</v>
          </cell>
          <cell r="KQ7">
            <v>0.0774</v>
          </cell>
          <cell r="KR7">
            <v>0.0773</v>
          </cell>
          <cell r="KS7">
            <v>0.0772</v>
          </cell>
          <cell r="KT7">
            <v>0.0772</v>
          </cell>
          <cell r="KU7">
            <v>0.077</v>
          </cell>
          <cell r="KV7">
            <v>0.0769</v>
          </cell>
          <cell r="KW7">
            <v>0.0767</v>
          </cell>
          <cell r="KX7">
            <v>0.0764</v>
          </cell>
          <cell r="KY7">
            <v>0.0763</v>
          </cell>
          <cell r="KZ7">
            <v>0.0763</v>
          </cell>
          <cell r="LA7">
            <v>0.0762</v>
          </cell>
          <cell r="LB7">
            <v>0.0761</v>
          </cell>
          <cell r="LC7">
            <v>0.0759</v>
          </cell>
          <cell r="LD7">
            <v>0.0757</v>
          </cell>
          <cell r="LE7">
            <v>0.0754</v>
          </cell>
          <cell r="LF7">
            <v>0.0751</v>
          </cell>
          <cell r="LG7">
            <v>0.075</v>
          </cell>
          <cell r="LH7">
            <v>0.0748</v>
          </cell>
          <cell r="LI7">
            <v>0.0746</v>
          </cell>
          <cell r="LJ7">
            <v>0.0744</v>
          </cell>
          <cell r="LK7">
            <v>0.0742</v>
          </cell>
          <cell r="LL7">
            <v>0.0739</v>
          </cell>
          <cell r="LM7">
            <v>0.0737</v>
          </cell>
          <cell r="LN7">
            <v>0.0737</v>
          </cell>
          <cell r="LO7">
            <v>0.0736</v>
          </cell>
          <cell r="LP7">
            <v>0.0735</v>
          </cell>
          <cell r="LQ7">
            <v>0.0735</v>
          </cell>
          <cell r="LR7">
            <v>0.0733</v>
          </cell>
          <cell r="LS7">
            <v>0.073</v>
          </cell>
          <cell r="LT7">
            <v>0.0729</v>
          </cell>
          <cell r="LU7">
            <v>0.0729</v>
          </cell>
          <cell r="LV7">
            <v>0.0728</v>
          </cell>
          <cell r="LW7">
            <v>0.0728</v>
          </cell>
          <cell r="LX7">
            <v>0.0726</v>
          </cell>
          <cell r="LY7">
            <v>0.0724</v>
          </cell>
          <cell r="LZ7">
            <v>0.072</v>
          </cell>
          <cell r="MA7">
            <v>0.0719</v>
          </cell>
          <cell r="MB7">
            <v>0.0719</v>
          </cell>
          <cell r="MC7">
            <v>0.0718</v>
          </cell>
          <cell r="MD7">
            <v>0.0717</v>
          </cell>
          <cell r="ME7">
            <v>0.0717</v>
          </cell>
          <cell r="MF7">
            <v>0.0717</v>
          </cell>
          <cell r="MG7">
            <v>0.0716</v>
          </cell>
          <cell r="MH7">
            <v>0.0717</v>
          </cell>
          <cell r="MI7">
            <v>0.0719</v>
          </cell>
          <cell r="MJ7">
            <v>0.0719</v>
          </cell>
          <cell r="MK7">
            <v>0.0718</v>
          </cell>
          <cell r="ML7">
            <v>0.0718</v>
          </cell>
          <cell r="MM7">
            <v>0.0717</v>
          </cell>
          <cell r="MN7">
            <v>0.0715</v>
          </cell>
          <cell r="MO7">
            <v>0.0713</v>
          </cell>
          <cell r="MP7">
            <v>0.0711</v>
          </cell>
          <cell r="MQ7">
            <v>0.0708</v>
          </cell>
          <cell r="MR7">
            <v>0.0706</v>
          </cell>
          <cell r="MS7">
            <v>0.0703</v>
          </cell>
          <cell r="MT7">
            <v>0.0699</v>
          </cell>
          <cell r="MU7">
            <v>0.0695</v>
          </cell>
          <cell r="MV7">
            <v>0.0692</v>
          </cell>
          <cell r="MW7">
            <v>0.069</v>
          </cell>
          <cell r="MX7">
            <v>0.0689</v>
          </cell>
          <cell r="MY7">
            <v>0.0687</v>
          </cell>
          <cell r="MZ7">
            <v>0.0686</v>
          </cell>
          <cell r="NA7">
            <v>0.0685</v>
          </cell>
          <cell r="NB7">
            <v>0.0684</v>
          </cell>
          <cell r="NC7">
            <v>0.0685</v>
          </cell>
          <cell r="ND7">
            <v>0.0685</v>
          </cell>
        </row>
        <row r="11">
          <cell r="C11">
            <v>10.77</v>
          </cell>
          <cell r="D11">
            <v>11.87</v>
          </cell>
          <cell r="E11">
            <v>12.01</v>
          </cell>
          <cell r="F11">
            <v>11.97</v>
          </cell>
          <cell r="G11">
            <v>11.86</v>
          </cell>
          <cell r="H11">
            <v>11.61</v>
          </cell>
          <cell r="I11">
            <v>11.62</v>
          </cell>
          <cell r="J11">
            <v>12.18</v>
          </cell>
          <cell r="K11">
            <v>11.98</v>
          </cell>
          <cell r="L11">
            <v>12.01</v>
          </cell>
          <cell r="M11">
            <v>11.93</v>
          </cell>
          <cell r="N11">
            <v>11.81</v>
          </cell>
          <cell r="O11">
            <v>11.44</v>
          </cell>
          <cell r="P11">
            <v>11.2</v>
          </cell>
          <cell r="Q11">
            <v>11.86</v>
          </cell>
          <cell r="R11">
            <v>12</v>
          </cell>
          <cell r="S11">
            <v>11.96</v>
          </cell>
          <cell r="T11">
            <v>12.06</v>
          </cell>
          <cell r="U11">
            <v>12.17</v>
          </cell>
          <cell r="V11">
            <v>12.07</v>
          </cell>
          <cell r="W11">
            <v>12.14</v>
          </cell>
          <cell r="X11">
            <v>13.06</v>
          </cell>
          <cell r="Y11">
            <v>13.15</v>
          </cell>
          <cell r="Z11">
            <v>12.95</v>
          </cell>
          <cell r="AA11">
            <v>12.58</v>
          </cell>
          <cell r="AB11">
            <v>12.28</v>
          </cell>
          <cell r="AC11">
            <v>11.96</v>
          </cell>
          <cell r="AD11">
            <v>11.59</v>
          </cell>
          <cell r="AE11">
            <v>11.7</v>
          </cell>
          <cell r="AF11">
            <v>11.42</v>
          </cell>
          <cell r="AG11">
            <v>11.14</v>
          </cell>
          <cell r="AH11">
            <v>11.26</v>
          </cell>
          <cell r="AI11">
            <v>11.17</v>
          </cell>
          <cell r="AJ11">
            <v>11.04</v>
          </cell>
          <cell r="AK11">
            <v>11.01</v>
          </cell>
          <cell r="AL11">
            <v>10.86</v>
          </cell>
          <cell r="AM11">
            <v>10.62</v>
          </cell>
          <cell r="AN11">
            <v>10.34</v>
          </cell>
          <cell r="AO11">
            <v>10.05</v>
          </cell>
          <cell r="AP11">
            <v>9.45</v>
          </cell>
          <cell r="AQ11">
            <v>8.62</v>
          </cell>
          <cell r="AR11">
            <v>8.37</v>
          </cell>
          <cell r="AS11">
            <v>8.2</v>
          </cell>
          <cell r="AT11">
            <v>8.13</v>
          </cell>
          <cell r="AU11">
            <v>8.21</v>
          </cell>
          <cell r="AV11">
            <v>8.65</v>
          </cell>
          <cell r="AW11">
            <v>8.74</v>
          </cell>
          <cell r="AX11">
            <v>8.89</v>
          </cell>
          <cell r="AY11">
            <v>9.25</v>
          </cell>
          <cell r="AZ11">
            <v>9.83</v>
          </cell>
          <cell r="BA11">
            <v>10.49</v>
          </cell>
          <cell r="BB11">
            <v>11.07</v>
          </cell>
          <cell r="BC11">
            <v>11.53</v>
          </cell>
          <cell r="BD11">
            <v>11.74</v>
          </cell>
          <cell r="BE11">
            <v>11.37</v>
          </cell>
          <cell r="BF11">
            <v>11.51</v>
          </cell>
          <cell r="BG11">
            <v>11.76</v>
          </cell>
          <cell r="BH11">
            <v>11.62</v>
          </cell>
          <cell r="BI11">
            <v>11.86</v>
          </cell>
          <cell r="BJ11">
            <v>11.89</v>
          </cell>
          <cell r="BK11">
            <v>11.85</v>
          </cell>
          <cell r="BL11">
            <v>11.37</v>
          </cell>
          <cell r="BM11">
            <v>11.09</v>
          </cell>
          <cell r="BN11">
            <v>11.62</v>
          </cell>
          <cell r="BO11">
            <v>11.65</v>
          </cell>
          <cell r="BP11">
            <v>11.54</v>
          </cell>
          <cell r="BQ11">
            <v>11.34</v>
          </cell>
          <cell r="BR11">
            <v>11.15</v>
          </cell>
          <cell r="BS11">
            <v>10.95</v>
          </cell>
          <cell r="BT11">
            <v>10.67</v>
          </cell>
          <cell r="BU11">
            <v>10.95</v>
          </cell>
          <cell r="BV11">
            <v>10.76</v>
          </cell>
          <cell r="BW11">
            <v>10.83</v>
          </cell>
          <cell r="BX11">
            <v>10.89</v>
          </cell>
          <cell r="BY11">
            <v>10.72</v>
          </cell>
          <cell r="BZ11">
            <v>10.46</v>
          </cell>
          <cell r="CA11">
            <v>10.28</v>
          </cell>
          <cell r="CB11">
            <v>10.9</v>
          </cell>
          <cell r="CC11">
            <v>10.69</v>
          </cell>
          <cell r="CD11">
            <v>10.56</v>
          </cell>
          <cell r="CE11">
            <v>10.51</v>
          </cell>
          <cell r="CF11">
            <v>10.53</v>
          </cell>
          <cell r="CG11">
            <v>10.44</v>
          </cell>
          <cell r="CH11">
            <v>10.17</v>
          </cell>
          <cell r="CI11">
            <v>10.68</v>
          </cell>
          <cell r="CJ11">
            <v>10.57</v>
          </cell>
          <cell r="CK11">
            <v>10.67</v>
          </cell>
          <cell r="CL11">
            <v>10.59</v>
          </cell>
          <cell r="CM11">
            <v>10.45</v>
          </cell>
          <cell r="CN11">
            <v>10.3</v>
          </cell>
          <cell r="CO11">
            <v>10.04</v>
          </cell>
          <cell r="CP11">
            <v>10.44</v>
          </cell>
          <cell r="CQ11">
            <v>10.54</v>
          </cell>
          <cell r="CR11">
            <v>10.5</v>
          </cell>
          <cell r="CS11">
            <v>9.3</v>
          </cell>
          <cell r="CT11">
            <v>9.76</v>
          </cell>
          <cell r="CU11">
            <v>10.11</v>
          </cell>
          <cell r="CV11">
            <v>10.41</v>
          </cell>
          <cell r="CW11">
            <v>10.46</v>
          </cell>
          <cell r="CX11">
            <v>10.29</v>
          </cell>
          <cell r="CY11">
            <v>10.33</v>
          </cell>
          <cell r="CZ11">
            <v>10.3</v>
          </cell>
          <cell r="DA11">
            <v>10.45</v>
          </cell>
          <cell r="DB11">
            <v>10.31</v>
          </cell>
          <cell r="DC11">
            <v>10.05</v>
          </cell>
          <cell r="DD11">
            <v>10.49</v>
          </cell>
          <cell r="DE11">
            <v>10.47</v>
          </cell>
          <cell r="DF11">
            <v>10.62</v>
          </cell>
          <cell r="DG11">
            <v>10.47</v>
          </cell>
          <cell r="DH11">
            <v>10.53</v>
          </cell>
          <cell r="DI11">
            <v>10.35</v>
          </cell>
          <cell r="DJ11">
            <v>9.97</v>
          </cell>
          <cell r="DK11">
            <v>10.43</v>
          </cell>
          <cell r="DL11">
            <v>10.38</v>
          </cell>
          <cell r="DM11">
            <v>10.37</v>
          </cell>
          <cell r="DN11">
            <v>10.49</v>
          </cell>
          <cell r="DO11">
            <v>10.5</v>
          </cell>
          <cell r="DP11">
            <v>10.54</v>
          </cell>
          <cell r="DQ11">
            <v>10.5</v>
          </cell>
          <cell r="DR11">
            <v>10.6</v>
          </cell>
          <cell r="DS11">
            <v>10.45</v>
          </cell>
          <cell r="DT11">
            <v>8.81</v>
          </cell>
          <cell r="DU11">
            <v>9.14</v>
          </cell>
          <cell r="DV11">
            <v>9.6</v>
          </cell>
          <cell r="DW11">
            <v>9.98</v>
          </cell>
          <cell r="DX11">
            <v>10.05</v>
          </cell>
          <cell r="DY11">
            <v>10.44</v>
          </cell>
          <cell r="DZ11">
            <v>10.5</v>
          </cell>
          <cell r="EA11">
            <v>10.55</v>
          </cell>
          <cell r="EB11">
            <v>10.54</v>
          </cell>
          <cell r="EC11">
            <v>10.52</v>
          </cell>
          <cell r="ED11">
            <v>10.55</v>
          </cell>
          <cell r="EE11">
            <v>10.13</v>
          </cell>
          <cell r="EF11">
            <v>10.49</v>
          </cell>
          <cell r="EG11">
            <v>10.54</v>
          </cell>
          <cell r="EH11">
            <v>10.58</v>
          </cell>
          <cell r="EI11">
            <v>10.62</v>
          </cell>
          <cell r="EJ11">
            <v>10.85</v>
          </cell>
          <cell r="EK11">
            <v>10.83</v>
          </cell>
          <cell r="EL11">
            <v>10.45</v>
          </cell>
          <cell r="EM11">
            <v>10.84</v>
          </cell>
          <cell r="EN11">
            <v>10.84</v>
          </cell>
          <cell r="EO11">
            <v>10.9</v>
          </cell>
          <cell r="EP11">
            <v>11.15</v>
          </cell>
          <cell r="EQ11">
            <v>11.24</v>
          </cell>
          <cell r="ER11">
            <v>11.02</v>
          </cell>
          <cell r="ES11">
            <v>10.65</v>
          </cell>
          <cell r="ET11">
            <v>11.03</v>
          </cell>
          <cell r="EU11">
            <v>10.86</v>
          </cell>
          <cell r="EV11">
            <v>10.79</v>
          </cell>
          <cell r="EW11">
            <v>10.84</v>
          </cell>
          <cell r="EX11">
            <v>10.86</v>
          </cell>
          <cell r="EY11">
            <v>10.53</v>
          </cell>
          <cell r="EZ11">
            <v>10.27</v>
          </cell>
          <cell r="FA11">
            <v>10.97</v>
          </cell>
          <cell r="FB11">
            <v>10.98</v>
          </cell>
          <cell r="FC11">
            <v>10.9</v>
          </cell>
          <cell r="FD11">
            <v>10.92</v>
          </cell>
          <cell r="FE11">
            <v>10.93</v>
          </cell>
          <cell r="FF11">
            <v>10.8</v>
          </cell>
          <cell r="FG11">
            <v>10.5</v>
          </cell>
          <cell r="FH11">
            <v>10.07</v>
          </cell>
          <cell r="FI11">
            <v>11.51</v>
          </cell>
          <cell r="FJ11">
            <v>11.93</v>
          </cell>
          <cell r="FK11">
            <v>12.27</v>
          </cell>
          <cell r="FL11">
            <v>12.37</v>
          </cell>
          <cell r="FM11">
            <v>12.16</v>
          </cell>
          <cell r="FN11">
            <v>11.53</v>
          </cell>
          <cell r="FO11">
            <v>11.99</v>
          </cell>
          <cell r="FP11">
            <v>12.16</v>
          </cell>
          <cell r="FQ11">
            <v>12.13</v>
          </cell>
          <cell r="FR11">
            <v>12.29</v>
          </cell>
          <cell r="FS11">
            <v>12.31</v>
          </cell>
          <cell r="FT11">
            <v>12.14</v>
          </cell>
          <cell r="FU11">
            <v>11.64</v>
          </cell>
          <cell r="FV11">
            <v>12.11</v>
          </cell>
          <cell r="FW11">
            <v>12</v>
          </cell>
          <cell r="FX11">
            <v>12.06</v>
          </cell>
          <cell r="FY11">
            <v>11.99</v>
          </cell>
          <cell r="FZ11">
            <v>12.17</v>
          </cell>
          <cell r="GA11">
            <v>11.95</v>
          </cell>
          <cell r="GB11">
            <v>11.69</v>
          </cell>
          <cell r="GC11">
            <v>12.17</v>
          </cell>
          <cell r="GD11">
            <v>12.01</v>
          </cell>
          <cell r="GE11">
            <v>12.12</v>
          </cell>
          <cell r="GF11">
            <v>12.44</v>
          </cell>
          <cell r="GG11">
            <v>12.86</v>
          </cell>
          <cell r="GH11">
            <v>12.7</v>
          </cell>
          <cell r="GI11">
            <v>12.5</v>
          </cell>
          <cell r="GJ11">
            <v>13.22</v>
          </cell>
          <cell r="GK11">
            <v>13.01</v>
          </cell>
          <cell r="GL11">
            <v>12.94</v>
          </cell>
          <cell r="GM11">
            <v>12.84</v>
          </cell>
          <cell r="GN11">
            <v>12.92</v>
          </cell>
          <cell r="GO11">
            <v>12.4</v>
          </cell>
          <cell r="GP11">
            <v>11.97</v>
          </cell>
          <cell r="GQ11">
            <v>12.9</v>
          </cell>
          <cell r="GR11">
            <v>13.07</v>
          </cell>
          <cell r="GS11">
            <v>13.18</v>
          </cell>
          <cell r="GT11">
            <v>13.4</v>
          </cell>
          <cell r="GU11">
            <v>13.68</v>
          </cell>
          <cell r="GV11">
            <v>13.13</v>
          </cell>
          <cell r="GW11">
            <v>13.39</v>
          </cell>
          <cell r="GX11">
            <v>14.19</v>
          </cell>
          <cell r="GY11">
            <v>14.37</v>
          </cell>
          <cell r="GZ11">
            <v>14.51</v>
          </cell>
          <cell r="HA11">
            <v>13.79</v>
          </cell>
          <cell r="HB11">
            <v>13.58</v>
          </cell>
          <cell r="HC11">
            <v>13.05</v>
          </cell>
          <cell r="HD11">
            <v>12.44</v>
          </cell>
          <cell r="HE11">
            <v>13.38</v>
          </cell>
          <cell r="HF11">
            <v>13.41</v>
          </cell>
          <cell r="HG11">
            <v>13.52</v>
          </cell>
          <cell r="HH11">
            <v>13.74</v>
          </cell>
          <cell r="HI11">
            <v>14.1</v>
          </cell>
          <cell r="HJ11">
            <v>14</v>
          </cell>
          <cell r="HK11">
            <v>13.47</v>
          </cell>
          <cell r="HL11">
            <v>14.11</v>
          </cell>
          <cell r="HM11">
            <v>14.18</v>
          </cell>
          <cell r="HN11">
            <v>14.15</v>
          </cell>
          <cell r="HO11">
            <v>14.16</v>
          </cell>
          <cell r="HP11">
            <v>14.13</v>
          </cell>
          <cell r="HQ11">
            <v>13.73</v>
          </cell>
          <cell r="HR11">
            <v>13.21</v>
          </cell>
          <cell r="HS11">
            <v>13.91</v>
          </cell>
          <cell r="HT11">
            <v>13.77</v>
          </cell>
          <cell r="HU11">
            <v>13.57</v>
          </cell>
          <cell r="HV11">
            <v>13.53</v>
          </cell>
          <cell r="HW11">
            <v>13.51</v>
          </cell>
          <cell r="HX11">
            <v>13.12</v>
          </cell>
          <cell r="HY11">
            <v>12.48</v>
          </cell>
          <cell r="HZ11">
            <v>13.2</v>
          </cell>
          <cell r="IA11">
            <v>13.1</v>
          </cell>
          <cell r="IB11">
            <v>13.2</v>
          </cell>
          <cell r="IC11">
            <v>13.57</v>
          </cell>
          <cell r="ID11">
            <v>14.02</v>
          </cell>
          <cell r="IE11">
            <v>13.83</v>
          </cell>
          <cell r="IF11">
            <v>13.31</v>
          </cell>
          <cell r="IG11">
            <v>13.67</v>
          </cell>
          <cell r="IH11">
            <v>13.09</v>
          </cell>
          <cell r="II11">
            <v>12.91</v>
          </cell>
          <cell r="IJ11">
            <v>13.06</v>
          </cell>
          <cell r="IK11">
            <v>13.39</v>
          </cell>
          <cell r="IL11">
            <v>13.3</v>
          </cell>
          <cell r="IM11">
            <v>13.14</v>
          </cell>
          <cell r="IN11">
            <v>13.39</v>
          </cell>
          <cell r="IO11">
            <v>12.93</v>
          </cell>
          <cell r="IP11">
            <v>13.28</v>
          </cell>
          <cell r="IQ11">
            <v>13.25</v>
          </cell>
          <cell r="IR11">
            <v>12.91</v>
          </cell>
          <cell r="IS11">
            <v>12.62</v>
          </cell>
          <cell r="IT11">
            <v>12.41</v>
          </cell>
          <cell r="IU11">
            <v>13.22</v>
          </cell>
          <cell r="IV11">
            <v>12.93</v>
          </cell>
          <cell r="IW11">
            <v>12.52</v>
          </cell>
          <cell r="IX11">
            <v>12.47</v>
          </cell>
          <cell r="IY11">
            <v>12.54</v>
          </cell>
          <cell r="IZ11">
            <v>12.46</v>
          </cell>
          <cell r="JA11">
            <v>11.68</v>
          </cell>
          <cell r="JB11">
            <v>11.03</v>
          </cell>
          <cell r="JC11">
            <v>10.62</v>
          </cell>
          <cell r="JD11">
            <v>12.26</v>
          </cell>
          <cell r="JE11">
            <v>12.56</v>
          </cell>
          <cell r="JF11">
            <v>12.65</v>
          </cell>
          <cell r="JG11">
            <v>11.58</v>
          </cell>
          <cell r="JH11">
            <v>10.78</v>
          </cell>
          <cell r="JI11">
            <v>10.96</v>
          </cell>
          <cell r="JJ11">
            <v>10.97</v>
          </cell>
          <cell r="JK11">
            <v>11.22</v>
          </cell>
          <cell r="JL11">
            <v>11.42</v>
          </cell>
          <cell r="JM11">
            <v>11.5</v>
          </cell>
          <cell r="JN11">
            <v>11.43</v>
          </cell>
          <cell r="JO11">
            <v>11.61</v>
          </cell>
          <cell r="JP11">
            <v>11.25</v>
          </cell>
          <cell r="JQ11">
            <v>9.38</v>
          </cell>
          <cell r="JR11">
            <v>9.13</v>
          </cell>
          <cell r="JS11">
            <v>9.33</v>
          </cell>
          <cell r="JT11">
            <v>9.75</v>
          </cell>
          <cell r="JU11">
            <v>10.05</v>
          </cell>
          <cell r="JV11">
            <v>10.26</v>
          </cell>
          <cell r="JW11">
            <v>10.52</v>
          </cell>
          <cell r="JX11">
            <v>10.64</v>
          </cell>
          <cell r="JY11">
            <v>10.57</v>
          </cell>
          <cell r="JZ11">
            <v>10.59</v>
          </cell>
          <cell r="KA11">
            <v>10.65</v>
          </cell>
          <cell r="KB11">
            <v>10.76</v>
          </cell>
          <cell r="KC11">
            <v>10.43</v>
          </cell>
          <cell r="KD11">
            <v>10.94</v>
          </cell>
          <cell r="KE11">
            <v>10.94</v>
          </cell>
          <cell r="KF11">
            <v>11.02</v>
          </cell>
          <cell r="KG11">
            <v>11.1</v>
          </cell>
          <cell r="KH11">
            <v>11.18</v>
          </cell>
          <cell r="KI11">
            <v>10.91</v>
          </cell>
          <cell r="KJ11">
            <v>10.5</v>
          </cell>
          <cell r="KK11">
            <v>11.02</v>
          </cell>
          <cell r="KL11">
            <v>11.02</v>
          </cell>
          <cell r="KM11">
            <v>10.74</v>
          </cell>
          <cell r="KN11">
            <v>10.69</v>
          </cell>
          <cell r="KO11">
            <v>10.7</v>
          </cell>
          <cell r="KP11">
            <v>10.64</v>
          </cell>
          <cell r="KQ11">
            <v>10.4</v>
          </cell>
          <cell r="KR11">
            <v>10.69</v>
          </cell>
          <cell r="KS11">
            <v>10.7</v>
          </cell>
          <cell r="KT11">
            <v>10.7</v>
          </cell>
          <cell r="KU11">
            <v>10.6</v>
          </cell>
          <cell r="KV11">
            <v>10.49</v>
          </cell>
          <cell r="KW11">
            <v>10.48</v>
          </cell>
          <cell r="KX11">
            <v>10.37</v>
          </cell>
          <cell r="KY11">
            <v>10.8</v>
          </cell>
          <cell r="KZ11">
            <v>10.85</v>
          </cell>
          <cell r="LA11">
            <v>10.89</v>
          </cell>
          <cell r="LB11">
            <v>10.88</v>
          </cell>
          <cell r="LC11">
            <v>10.86</v>
          </cell>
          <cell r="LD11">
            <v>10.75</v>
          </cell>
          <cell r="LE11">
            <v>10.46</v>
          </cell>
          <cell r="LF11">
            <v>10.88</v>
          </cell>
          <cell r="LG11">
            <v>10.95</v>
          </cell>
          <cell r="LH11">
            <v>11.02</v>
          </cell>
          <cell r="LI11">
            <v>11.08</v>
          </cell>
          <cell r="LJ11">
            <v>11.28</v>
          </cell>
          <cell r="LK11">
            <v>11.1</v>
          </cell>
          <cell r="LL11">
            <v>10.78</v>
          </cell>
          <cell r="LM11">
            <v>11.35</v>
          </cell>
          <cell r="LN11">
            <v>11.38</v>
          </cell>
          <cell r="LO11">
            <v>11.36</v>
          </cell>
          <cell r="LP11">
            <v>11.31</v>
          </cell>
          <cell r="LQ11">
            <v>11.32</v>
          </cell>
          <cell r="LR11">
            <v>11.19</v>
          </cell>
          <cell r="LS11">
            <v>11.05</v>
          </cell>
          <cell r="LT11">
            <v>11.63</v>
          </cell>
          <cell r="LU11">
            <v>11.63</v>
          </cell>
          <cell r="LV11">
            <v>11.69</v>
          </cell>
          <cell r="LW11">
            <v>11.69</v>
          </cell>
          <cell r="LX11">
            <v>11.6</v>
          </cell>
          <cell r="LY11">
            <v>11.25</v>
          </cell>
          <cell r="LZ11">
            <v>10.85</v>
          </cell>
          <cell r="MA11">
            <v>11.46</v>
          </cell>
          <cell r="MB11">
            <v>11.61</v>
          </cell>
          <cell r="MC11">
            <v>11.72</v>
          </cell>
          <cell r="MD11">
            <v>11.79</v>
          </cell>
          <cell r="ME11">
            <v>11.87</v>
          </cell>
          <cell r="MF11">
            <v>11.82</v>
          </cell>
          <cell r="MG11">
            <v>11.7</v>
          </cell>
          <cell r="MH11">
            <v>12.23</v>
          </cell>
          <cell r="MI11">
            <v>12.34</v>
          </cell>
          <cell r="MJ11">
            <v>12.37</v>
          </cell>
          <cell r="MK11">
            <v>12.55</v>
          </cell>
          <cell r="ML11">
            <v>12.55</v>
          </cell>
          <cell r="MM11">
            <v>12.32</v>
          </cell>
          <cell r="MN11">
            <v>11.98</v>
          </cell>
          <cell r="MO11">
            <v>12.34</v>
          </cell>
          <cell r="MP11">
            <v>12.36</v>
          </cell>
          <cell r="MQ11">
            <v>12.48</v>
          </cell>
          <cell r="MR11">
            <v>12.75</v>
          </cell>
          <cell r="MS11">
            <v>12.58</v>
          </cell>
          <cell r="MT11">
            <v>12.45</v>
          </cell>
          <cell r="MU11">
            <v>12.47</v>
          </cell>
          <cell r="MV11">
            <v>12.87</v>
          </cell>
          <cell r="MW11">
            <v>12.7</v>
          </cell>
          <cell r="MX11">
            <v>12.66</v>
          </cell>
          <cell r="MY11">
            <v>12.58</v>
          </cell>
          <cell r="MZ11">
            <v>12.64</v>
          </cell>
          <cell r="NA11">
            <v>12.42</v>
          </cell>
          <cell r="NB11">
            <v>12.19</v>
          </cell>
          <cell r="NC11">
            <v>12.45</v>
          </cell>
          <cell r="ND11">
            <v>12.13</v>
          </cell>
        </row>
        <row r="14">
          <cell r="C14">
            <v>8.54</v>
          </cell>
          <cell r="D14">
            <v>8.4</v>
          </cell>
          <cell r="E14">
            <v>9.09</v>
          </cell>
          <cell r="F14">
            <v>9.2</v>
          </cell>
          <cell r="G14">
            <v>9.17</v>
          </cell>
          <cell r="H14">
            <v>9.15</v>
          </cell>
          <cell r="I14">
            <v>9.11</v>
          </cell>
          <cell r="J14">
            <v>9.03</v>
          </cell>
          <cell r="K14">
            <v>9.2</v>
          </cell>
          <cell r="L14">
            <v>9.2</v>
          </cell>
          <cell r="M14">
            <v>9.2</v>
          </cell>
          <cell r="N14">
            <v>9.13</v>
          </cell>
          <cell r="O14">
            <v>9.06</v>
          </cell>
          <cell r="P14">
            <v>8.86</v>
          </cell>
          <cell r="Q14">
            <v>8.86</v>
          </cell>
          <cell r="R14">
            <v>9.13</v>
          </cell>
          <cell r="S14">
            <v>9.11</v>
          </cell>
          <cell r="T14">
            <v>9.08</v>
          </cell>
          <cell r="U14">
            <v>9.14</v>
          </cell>
          <cell r="V14">
            <v>9.18</v>
          </cell>
          <cell r="W14">
            <v>9.18</v>
          </cell>
          <cell r="X14">
            <v>9.29</v>
          </cell>
          <cell r="Y14">
            <v>9.67</v>
          </cell>
          <cell r="Z14">
            <v>9.68</v>
          </cell>
          <cell r="AA14">
            <v>9.53</v>
          </cell>
          <cell r="AB14">
            <v>9.33</v>
          </cell>
          <cell r="AC14">
            <v>9.15</v>
          </cell>
          <cell r="AD14">
            <v>9.01</v>
          </cell>
          <cell r="AE14">
            <v>8.74</v>
          </cell>
          <cell r="AF14">
            <v>8.64</v>
          </cell>
          <cell r="AG14">
            <v>8.41</v>
          </cell>
          <cell r="AH14">
            <v>8.27</v>
          </cell>
          <cell r="AI14">
            <v>8.3</v>
          </cell>
          <cell r="AJ14">
            <v>8.18</v>
          </cell>
          <cell r="AK14">
            <v>8.04</v>
          </cell>
          <cell r="AL14">
            <v>7.96</v>
          </cell>
          <cell r="AM14">
            <v>7.81</v>
          </cell>
          <cell r="AN14">
            <v>7.6</v>
          </cell>
          <cell r="AO14">
            <v>7.35</v>
          </cell>
          <cell r="AP14">
            <v>7.02</v>
          </cell>
          <cell r="AQ14">
            <v>6.78</v>
          </cell>
          <cell r="AR14">
            <v>6.48</v>
          </cell>
          <cell r="AS14">
            <v>6.36</v>
          </cell>
          <cell r="AT14">
            <v>6.25</v>
          </cell>
          <cell r="AU14">
            <v>6.24</v>
          </cell>
          <cell r="AV14">
            <v>6.36</v>
          </cell>
          <cell r="AW14">
            <v>6.62</v>
          </cell>
          <cell r="AX14">
            <v>6.7</v>
          </cell>
          <cell r="AY14">
            <v>6.84</v>
          </cell>
          <cell r="AZ14">
            <v>7.1</v>
          </cell>
          <cell r="BA14">
            <v>7.56</v>
          </cell>
          <cell r="BB14">
            <v>7.96</v>
          </cell>
          <cell r="BC14">
            <v>8.27</v>
          </cell>
          <cell r="BD14">
            <v>8.49</v>
          </cell>
          <cell r="BE14">
            <v>8.53</v>
          </cell>
          <cell r="BF14">
            <v>8.43</v>
          </cell>
          <cell r="BG14">
            <v>8.49</v>
          </cell>
          <cell r="BH14">
            <v>8.69</v>
          </cell>
          <cell r="BI14">
            <v>8.67</v>
          </cell>
          <cell r="BJ14">
            <v>8.73</v>
          </cell>
          <cell r="BK14">
            <v>8.84</v>
          </cell>
          <cell r="BL14">
            <v>8.89</v>
          </cell>
          <cell r="BM14">
            <v>8.74</v>
          </cell>
          <cell r="BN14">
            <v>8.52</v>
          </cell>
          <cell r="BO14">
            <v>8.74</v>
          </cell>
          <cell r="BP14">
            <v>8.79</v>
          </cell>
          <cell r="BQ14">
            <v>8.84</v>
          </cell>
          <cell r="BR14">
            <v>8.79</v>
          </cell>
          <cell r="BS14">
            <v>8.72</v>
          </cell>
          <cell r="BT14">
            <v>8.58</v>
          </cell>
          <cell r="BU14">
            <v>8.37</v>
          </cell>
          <cell r="BV14">
            <v>8.53</v>
          </cell>
          <cell r="BW14">
            <v>8.54</v>
          </cell>
          <cell r="BX14">
            <v>8.5</v>
          </cell>
          <cell r="BY14">
            <v>8.46</v>
          </cell>
          <cell r="BZ14">
            <v>8.37</v>
          </cell>
          <cell r="CA14">
            <v>8.27</v>
          </cell>
          <cell r="CB14">
            <v>8.24</v>
          </cell>
          <cell r="CC14">
            <v>8.48</v>
          </cell>
          <cell r="CD14">
            <v>8.46</v>
          </cell>
          <cell r="CE14">
            <v>8.42</v>
          </cell>
          <cell r="CF14">
            <v>8.35</v>
          </cell>
          <cell r="CG14">
            <v>8.35</v>
          </cell>
          <cell r="CH14">
            <v>8.29</v>
          </cell>
          <cell r="CI14">
            <v>8.22</v>
          </cell>
          <cell r="CJ14">
            <v>8.44</v>
          </cell>
          <cell r="CK14">
            <v>8.41</v>
          </cell>
          <cell r="CL14">
            <v>8.4</v>
          </cell>
          <cell r="CM14">
            <v>8.39</v>
          </cell>
          <cell r="CN14">
            <v>8.36</v>
          </cell>
          <cell r="CO14">
            <v>8.23</v>
          </cell>
          <cell r="CP14">
            <v>8.11</v>
          </cell>
          <cell r="CQ14">
            <v>8.33</v>
          </cell>
          <cell r="CR14">
            <v>8.36</v>
          </cell>
          <cell r="CS14">
            <v>8.07</v>
          </cell>
          <cell r="CT14">
            <v>7.64</v>
          </cell>
          <cell r="CU14">
            <v>7.97</v>
          </cell>
          <cell r="CV14">
            <v>8.12</v>
          </cell>
          <cell r="CW14">
            <v>8.19</v>
          </cell>
          <cell r="CX14">
            <v>8.24</v>
          </cell>
          <cell r="CY14">
            <v>8.24</v>
          </cell>
          <cell r="CZ14">
            <v>8.24</v>
          </cell>
          <cell r="DA14">
            <v>8.28</v>
          </cell>
          <cell r="DB14">
            <v>8.31</v>
          </cell>
          <cell r="DC14">
            <v>8.29</v>
          </cell>
          <cell r="DD14">
            <v>8.18</v>
          </cell>
          <cell r="DE14">
            <v>8.4</v>
          </cell>
          <cell r="DF14">
            <v>8.42</v>
          </cell>
          <cell r="DG14">
            <v>8.43</v>
          </cell>
          <cell r="DH14">
            <v>8.35</v>
          </cell>
          <cell r="DI14">
            <v>8.37</v>
          </cell>
          <cell r="DJ14">
            <v>8.2</v>
          </cell>
          <cell r="DK14">
            <v>8.07</v>
          </cell>
          <cell r="DL14">
            <v>8.28</v>
          </cell>
          <cell r="DM14">
            <v>8.29</v>
          </cell>
          <cell r="DN14">
            <v>8.3</v>
          </cell>
          <cell r="DO14">
            <v>8.36</v>
          </cell>
          <cell r="DP14">
            <v>8.44</v>
          </cell>
          <cell r="DQ14">
            <v>8.39</v>
          </cell>
          <cell r="DR14">
            <v>8.37</v>
          </cell>
          <cell r="DS14">
            <v>8.38</v>
          </cell>
          <cell r="DT14">
            <v>7.78</v>
          </cell>
          <cell r="DU14">
            <v>7.25</v>
          </cell>
          <cell r="DV14">
            <v>7.54</v>
          </cell>
          <cell r="DW14">
            <v>7.85</v>
          </cell>
          <cell r="DX14">
            <v>8.03</v>
          </cell>
          <cell r="DY14">
            <v>8.12</v>
          </cell>
          <cell r="DZ14">
            <v>8.3</v>
          </cell>
          <cell r="EA14">
            <v>8.37</v>
          </cell>
          <cell r="EB14">
            <v>8.35</v>
          </cell>
          <cell r="EC14">
            <v>8.35</v>
          </cell>
          <cell r="ED14">
            <v>8.41</v>
          </cell>
          <cell r="EE14">
            <v>8.4</v>
          </cell>
          <cell r="EF14">
            <v>8.2</v>
          </cell>
          <cell r="EG14">
            <v>8.4</v>
          </cell>
          <cell r="EH14">
            <v>8.42</v>
          </cell>
          <cell r="EI14">
            <v>8.44</v>
          </cell>
          <cell r="EJ14">
            <v>8.5</v>
          </cell>
          <cell r="EK14">
            <v>8.64</v>
          </cell>
          <cell r="EL14">
            <v>8.56</v>
          </cell>
          <cell r="EM14">
            <v>8.36</v>
          </cell>
          <cell r="EN14">
            <v>8.55</v>
          </cell>
          <cell r="EO14">
            <v>8.58</v>
          </cell>
          <cell r="EP14">
            <v>8.68</v>
          </cell>
          <cell r="EQ14">
            <v>8.77</v>
          </cell>
          <cell r="ER14">
            <v>8.89</v>
          </cell>
          <cell r="ES14">
            <v>8.71</v>
          </cell>
          <cell r="ET14">
            <v>8.6</v>
          </cell>
          <cell r="EU14">
            <v>8.65</v>
          </cell>
          <cell r="EV14">
            <v>8.6</v>
          </cell>
          <cell r="EW14">
            <v>8.57</v>
          </cell>
          <cell r="EX14">
            <v>8.58</v>
          </cell>
          <cell r="EY14">
            <v>8.55</v>
          </cell>
          <cell r="EZ14">
            <v>8.47</v>
          </cell>
          <cell r="FA14">
            <v>8.47</v>
          </cell>
          <cell r="FB14">
            <v>8.69</v>
          </cell>
          <cell r="FC14">
            <v>8.66</v>
          </cell>
          <cell r="FD14">
            <v>8.63</v>
          </cell>
          <cell r="FE14">
            <v>8.66</v>
          </cell>
          <cell r="FF14">
            <v>8.72</v>
          </cell>
          <cell r="FG14">
            <v>8.64</v>
          </cell>
          <cell r="FH14">
            <v>8.36</v>
          </cell>
          <cell r="FI14">
            <v>8.24</v>
          </cell>
          <cell r="FJ14">
            <v>9.09</v>
          </cell>
          <cell r="FK14">
            <v>9.46</v>
          </cell>
          <cell r="FL14">
            <v>9.64</v>
          </cell>
          <cell r="FM14">
            <v>9.69</v>
          </cell>
          <cell r="FN14">
            <v>9.59</v>
          </cell>
          <cell r="FO14">
            <v>9.21</v>
          </cell>
          <cell r="FP14">
            <v>9.5</v>
          </cell>
          <cell r="FQ14">
            <v>9.53</v>
          </cell>
          <cell r="FR14">
            <v>9.59</v>
          </cell>
          <cell r="FS14">
            <v>9.76</v>
          </cell>
          <cell r="FT14">
            <v>9.72</v>
          </cell>
          <cell r="FU14">
            <v>9.66</v>
          </cell>
          <cell r="FV14">
            <v>9.39</v>
          </cell>
          <cell r="FW14">
            <v>9.5</v>
          </cell>
          <cell r="FX14">
            <v>9.49</v>
          </cell>
          <cell r="FY14">
            <v>9.45</v>
          </cell>
          <cell r="FZ14">
            <v>9.49</v>
          </cell>
          <cell r="GA14">
            <v>9.57</v>
          </cell>
          <cell r="GB14">
            <v>9.52</v>
          </cell>
          <cell r="GC14">
            <v>9.36</v>
          </cell>
          <cell r="GD14">
            <v>9.45</v>
          </cell>
          <cell r="GE14">
            <v>9.39</v>
          </cell>
          <cell r="GF14">
            <v>9.66</v>
          </cell>
          <cell r="GG14">
            <v>9.88</v>
          </cell>
          <cell r="GH14">
            <v>10.04</v>
          </cell>
          <cell r="GI14">
            <v>10.19</v>
          </cell>
          <cell r="GJ14">
            <v>10.12</v>
          </cell>
          <cell r="GK14">
            <v>10.26</v>
          </cell>
          <cell r="GL14">
            <v>10.24</v>
          </cell>
          <cell r="GM14">
            <v>10.14</v>
          </cell>
          <cell r="GN14">
            <v>10.09</v>
          </cell>
          <cell r="GO14">
            <v>10.12</v>
          </cell>
          <cell r="GP14">
            <v>9.93</v>
          </cell>
          <cell r="GQ14">
            <v>9.8</v>
          </cell>
          <cell r="GR14">
            <v>10.13</v>
          </cell>
          <cell r="GS14">
            <v>10.21</v>
          </cell>
          <cell r="GT14">
            <v>10.25</v>
          </cell>
          <cell r="GU14">
            <v>10.36</v>
          </cell>
          <cell r="GV14">
            <v>10.42</v>
          </cell>
          <cell r="GW14">
            <v>10.45</v>
          </cell>
          <cell r="GX14">
            <v>10.54</v>
          </cell>
          <cell r="GY14">
            <v>10.87</v>
          </cell>
          <cell r="GZ14">
            <v>11.1</v>
          </cell>
          <cell r="HA14">
            <v>10.86</v>
          </cell>
          <cell r="HB14">
            <v>10.7</v>
          </cell>
          <cell r="HC14">
            <v>10.49</v>
          </cell>
          <cell r="HD14">
            <v>10.06</v>
          </cell>
          <cell r="HE14">
            <v>9.84</v>
          </cell>
          <cell r="HF14">
            <v>10.08</v>
          </cell>
          <cell r="HG14">
            <v>10.17</v>
          </cell>
          <cell r="HH14">
            <v>10.31</v>
          </cell>
          <cell r="HI14">
            <v>10.49</v>
          </cell>
          <cell r="HJ14">
            <v>10.77</v>
          </cell>
          <cell r="HK14">
            <v>10.7</v>
          </cell>
          <cell r="HL14">
            <v>10.48</v>
          </cell>
          <cell r="HM14">
            <v>10.67</v>
          </cell>
          <cell r="HN14">
            <v>10.68</v>
          </cell>
          <cell r="HO14">
            <v>10.73</v>
          </cell>
          <cell r="HP14">
            <v>10.85</v>
          </cell>
          <cell r="HQ14">
            <v>10.77</v>
          </cell>
          <cell r="HR14">
            <v>10.58</v>
          </cell>
          <cell r="HS14">
            <v>10.3</v>
          </cell>
          <cell r="HT14">
            <v>10.44</v>
          </cell>
          <cell r="HU14">
            <v>10.34</v>
          </cell>
          <cell r="HV14">
            <v>10.27</v>
          </cell>
          <cell r="HW14">
            <v>10.16</v>
          </cell>
          <cell r="HX14">
            <v>10.16</v>
          </cell>
          <cell r="HY14">
            <v>9.96</v>
          </cell>
          <cell r="HZ14">
            <v>9.74</v>
          </cell>
          <cell r="IA14">
            <v>9.95</v>
          </cell>
          <cell r="IB14">
            <v>9.99</v>
          </cell>
          <cell r="IC14">
            <v>10.07</v>
          </cell>
          <cell r="ID14">
            <v>10.4</v>
          </cell>
          <cell r="IE14">
            <v>10.52</v>
          </cell>
          <cell r="IF14">
            <v>10.58</v>
          </cell>
          <cell r="IG14">
            <v>10.27</v>
          </cell>
          <cell r="IH14">
            <v>10.34</v>
          </cell>
          <cell r="II14">
            <v>10.12</v>
          </cell>
          <cell r="IJ14">
            <v>10.08</v>
          </cell>
          <cell r="IK14">
            <v>10.04</v>
          </cell>
          <cell r="IL14">
            <v>10.26</v>
          </cell>
          <cell r="IM14">
            <v>10.11</v>
          </cell>
          <cell r="IN14">
            <v>10.19</v>
          </cell>
          <cell r="IO14">
            <v>10.1</v>
          </cell>
          <cell r="IP14">
            <v>10.11</v>
          </cell>
          <cell r="IQ14">
            <v>10.32</v>
          </cell>
          <cell r="IR14">
            <v>10.15</v>
          </cell>
          <cell r="IS14">
            <v>9.87</v>
          </cell>
          <cell r="IT14">
            <v>9.83</v>
          </cell>
          <cell r="IU14">
            <v>9.8</v>
          </cell>
          <cell r="IV14">
            <v>10.04</v>
          </cell>
          <cell r="IW14">
            <v>9.84</v>
          </cell>
          <cell r="IX14">
            <v>9.71</v>
          </cell>
          <cell r="IY14">
            <v>9.73</v>
          </cell>
          <cell r="IZ14">
            <v>9.8</v>
          </cell>
          <cell r="JA14">
            <v>9.59</v>
          </cell>
          <cell r="JB14">
            <v>9.22</v>
          </cell>
          <cell r="JC14">
            <v>8.75</v>
          </cell>
          <cell r="JD14">
            <v>8.64</v>
          </cell>
          <cell r="JE14">
            <v>9.68</v>
          </cell>
          <cell r="JF14">
            <v>9.79</v>
          </cell>
          <cell r="JG14">
            <v>9.61</v>
          </cell>
          <cell r="JH14">
            <v>9.09</v>
          </cell>
          <cell r="JI14">
            <v>8.67</v>
          </cell>
          <cell r="JJ14">
            <v>8.74</v>
          </cell>
          <cell r="JK14">
            <v>8.82</v>
          </cell>
          <cell r="JL14">
            <v>8.94</v>
          </cell>
          <cell r="JM14">
            <v>9.02</v>
          </cell>
          <cell r="JN14">
            <v>9.15</v>
          </cell>
          <cell r="JO14">
            <v>9.13</v>
          </cell>
          <cell r="JP14">
            <v>9.04</v>
          </cell>
          <cell r="JQ14">
            <v>8.05</v>
          </cell>
          <cell r="JR14">
            <v>7.45</v>
          </cell>
          <cell r="JS14">
            <v>7.45</v>
          </cell>
          <cell r="JT14">
            <v>7.66</v>
          </cell>
          <cell r="JU14">
            <v>8.04</v>
          </cell>
          <cell r="JV14">
            <v>8.23</v>
          </cell>
          <cell r="JW14">
            <v>8.38</v>
          </cell>
          <cell r="JX14">
            <v>8.46</v>
          </cell>
          <cell r="JY14">
            <v>8.5</v>
          </cell>
          <cell r="JZ14">
            <v>8.49</v>
          </cell>
          <cell r="KA14">
            <v>8.54</v>
          </cell>
          <cell r="KB14">
            <v>8.6</v>
          </cell>
          <cell r="KC14">
            <v>8.58</v>
          </cell>
          <cell r="KD14">
            <v>8.5</v>
          </cell>
          <cell r="KE14">
            <v>8.74</v>
          </cell>
          <cell r="KF14">
            <v>8.76</v>
          </cell>
          <cell r="KG14">
            <v>8.81</v>
          </cell>
          <cell r="KH14">
            <v>8.83</v>
          </cell>
          <cell r="KI14">
            <v>8.86</v>
          </cell>
          <cell r="KJ14">
            <v>8.74</v>
          </cell>
          <cell r="KK14">
            <v>8.54</v>
          </cell>
          <cell r="KL14">
            <v>8.82</v>
          </cell>
          <cell r="KM14">
            <v>8.72</v>
          </cell>
          <cell r="KN14">
            <v>8.64</v>
          </cell>
          <cell r="KO14">
            <v>8.57</v>
          </cell>
          <cell r="KP14">
            <v>8.62</v>
          </cell>
          <cell r="KQ14">
            <v>8.55</v>
          </cell>
          <cell r="KR14">
            <v>8.43</v>
          </cell>
          <cell r="KS14">
            <v>8.57</v>
          </cell>
          <cell r="KT14">
            <v>8.6</v>
          </cell>
          <cell r="KU14">
            <v>8.55</v>
          </cell>
          <cell r="KV14">
            <v>8.44</v>
          </cell>
          <cell r="KW14">
            <v>8.43</v>
          </cell>
          <cell r="KX14">
            <v>8.41</v>
          </cell>
          <cell r="KY14">
            <v>8.38</v>
          </cell>
          <cell r="KZ14">
            <v>8.65</v>
          </cell>
          <cell r="LA14">
            <v>8.71</v>
          </cell>
          <cell r="LB14">
            <v>8.7</v>
          </cell>
          <cell r="LC14">
            <v>8.69</v>
          </cell>
          <cell r="LD14">
            <v>8.68</v>
          </cell>
          <cell r="LE14">
            <v>8.59</v>
          </cell>
          <cell r="LF14">
            <v>8.45</v>
          </cell>
          <cell r="LG14">
            <v>8.71</v>
          </cell>
          <cell r="LH14">
            <v>8.76</v>
          </cell>
          <cell r="LI14">
            <v>8.78</v>
          </cell>
          <cell r="LJ14">
            <v>8.86</v>
          </cell>
          <cell r="LK14">
            <v>8.88</v>
          </cell>
          <cell r="LL14">
            <v>8.81</v>
          </cell>
          <cell r="LM14">
            <v>8.69</v>
          </cell>
          <cell r="LN14">
            <v>8.93</v>
          </cell>
          <cell r="LO14">
            <v>8.95</v>
          </cell>
          <cell r="LP14">
            <v>8.92</v>
          </cell>
          <cell r="LQ14">
            <v>8.94</v>
          </cell>
          <cell r="LR14">
            <v>8.93</v>
          </cell>
          <cell r="LS14">
            <v>8.89</v>
          </cell>
          <cell r="LT14">
            <v>8.78</v>
          </cell>
          <cell r="LU14">
            <v>9.11</v>
          </cell>
          <cell r="LV14">
            <v>9.18</v>
          </cell>
          <cell r="LW14">
            <v>9.21</v>
          </cell>
          <cell r="LX14">
            <v>9.19</v>
          </cell>
          <cell r="LY14">
            <v>9.15</v>
          </cell>
          <cell r="LZ14">
            <v>8.9</v>
          </cell>
          <cell r="MA14">
            <v>8.77</v>
          </cell>
          <cell r="MB14">
            <v>9.14</v>
          </cell>
          <cell r="MC14">
            <v>9.19</v>
          </cell>
          <cell r="MD14">
            <v>9.23</v>
          </cell>
          <cell r="ME14">
            <v>9.31</v>
          </cell>
          <cell r="MF14">
            <v>9.35</v>
          </cell>
          <cell r="MG14">
            <v>9.33</v>
          </cell>
          <cell r="MH14">
            <v>9.21</v>
          </cell>
          <cell r="MI14">
            <v>9.43</v>
          </cell>
          <cell r="MJ14">
            <v>9.45</v>
          </cell>
          <cell r="MK14">
            <v>9.54</v>
          </cell>
          <cell r="ML14">
            <v>9.58</v>
          </cell>
          <cell r="MM14">
            <v>9.69</v>
          </cell>
          <cell r="MN14">
            <v>9.6</v>
          </cell>
          <cell r="MO14">
            <v>9.39</v>
          </cell>
          <cell r="MP14">
            <v>9.62</v>
          </cell>
          <cell r="MQ14">
            <v>9.62</v>
          </cell>
          <cell r="MR14">
            <v>9.73</v>
          </cell>
          <cell r="MS14">
            <v>9.78</v>
          </cell>
          <cell r="MT14">
            <v>9.78</v>
          </cell>
          <cell r="MU14">
            <v>9.74</v>
          </cell>
          <cell r="MV14">
            <v>9.58</v>
          </cell>
          <cell r="MW14">
            <v>9.78</v>
          </cell>
          <cell r="MX14">
            <v>9.67</v>
          </cell>
          <cell r="MY14">
            <v>9.67</v>
          </cell>
          <cell r="MZ14">
            <v>9.67</v>
          </cell>
          <cell r="NA14">
            <v>9.74</v>
          </cell>
          <cell r="NB14">
            <v>9.67</v>
          </cell>
          <cell r="NC14">
            <v>9.47</v>
          </cell>
          <cell r="ND14">
            <v>9.47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1-数据"/>
      <sheetName val="02-2024年负荷创新高次数统计"/>
      <sheetName val="03-各类趋势线"/>
      <sheetName val="04-数据分析"/>
    </sheetNames>
    <sheetDataSet>
      <sheetData sheetId="0">
        <row r="1">
          <cell r="C1">
            <v>45292</v>
          </cell>
          <cell r="D1">
            <v>45293</v>
          </cell>
          <cell r="E1">
            <v>45294</v>
          </cell>
          <cell r="F1">
            <v>45295</v>
          </cell>
          <cell r="G1">
            <v>45296</v>
          </cell>
          <cell r="H1">
            <v>45297</v>
          </cell>
          <cell r="I1">
            <v>45298</v>
          </cell>
          <cell r="J1">
            <v>45299</v>
          </cell>
          <cell r="K1">
            <v>45300</v>
          </cell>
          <cell r="L1">
            <v>45301</v>
          </cell>
          <cell r="M1">
            <v>45302</v>
          </cell>
          <cell r="N1">
            <v>45303</v>
          </cell>
          <cell r="O1">
            <v>45304</v>
          </cell>
          <cell r="P1">
            <v>45305</v>
          </cell>
          <cell r="Q1">
            <v>45306</v>
          </cell>
          <cell r="R1">
            <v>45307</v>
          </cell>
          <cell r="S1">
            <v>45308</v>
          </cell>
          <cell r="T1">
            <v>45309</v>
          </cell>
          <cell r="U1">
            <v>45310</v>
          </cell>
          <cell r="V1">
            <v>45311</v>
          </cell>
          <cell r="W1">
            <v>45312</v>
          </cell>
          <cell r="X1">
            <v>45313</v>
          </cell>
          <cell r="Y1">
            <v>45314</v>
          </cell>
          <cell r="Z1">
            <v>45315</v>
          </cell>
          <cell r="AA1">
            <v>45316</v>
          </cell>
          <cell r="AB1">
            <v>45317</v>
          </cell>
          <cell r="AC1">
            <v>45318</v>
          </cell>
          <cell r="AD1">
            <v>45319</v>
          </cell>
          <cell r="AE1">
            <v>45320</v>
          </cell>
          <cell r="AF1">
            <v>45321</v>
          </cell>
          <cell r="AG1">
            <v>45322</v>
          </cell>
          <cell r="AH1">
            <v>45323</v>
          </cell>
          <cell r="AI1">
            <v>45324</v>
          </cell>
          <cell r="AJ1">
            <v>45325</v>
          </cell>
          <cell r="AK1">
            <v>45326</v>
          </cell>
          <cell r="AL1">
            <v>45327</v>
          </cell>
          <cell r="AM1">
            <v>45328</v>
          </cell>
          <cell r="AN1">
            <v>45329</v>
          </cell>
          <cell r="AO1">
            <v>45330</v>
          </cell>
          <cell r="AP1">
            <v>45331</v>
          </cell>
          <cell r="AQ1">
            <v>45332</v>
          </cell>
          <cell r="AR1">
            <v>45333</v>
          </cell>
          <cell r="AS1">
            <v>45334</v>
          </cell>
          <cell r="AT1">
            <v>45335</v>
          </cell>
          <cell r="AU1">
            <v>45336</v>
          </cell>
          <cell r="AV1">
            <v>45337</v>
          </cell>
          <cell r="AW1">
            <v>45338</v>
          </cell>
          <cell r="AX1">
            <v>45339</v>
          </cell>
          <cell r="AY1">
            <v>45340</v>
          </cell>
          <cell r="AZ1">
            <v>45341</v>
          </cell>
          <cell r="BA1">
            <v>45342</v>
          </cell>
          <cell r="BB1">
            <v>45343</v>
          </cell>
          <cell r="BC1">
            <v>45344</v>
          </cell>
          <cell r="BD1">
            <v>45345</v>
          </cell>
          <cell r="BE1">
            <v>45346</v>
          </cell>
          <cell r="BF1">
            <v>45347</v>
          </cell>
          <cell r="BG1">
            <v>45348</v>
          </cell>
          <cell r="BH1">
            <v>45349</v>
          </cell>
          <cell r="BI1">
            <v>45350</v>
          </cell>
          <cell r="BJ1">
            <v>45351</v>
          </cell>
          <cell r="BK1">
            <v>45352</v>
          </cell>
          <cell r="BL1">
            <v>45353</v>
          </cell>
          <cell r="BM1">
            <v>45354</v>
          </cell>
          <cell r="BN1">
            <v>45355</v>
          </cell>
          <cell r="BO1">
            <v>45356</v>
          </cell>
          <cell r="BP1">
            <v>45357</v>
          </cell>
          <cell r="BQ1">
            <v>45358</v>
          </cell>
          <cell r="BR1">
            <v>45359</v>
          </cell>
          <cell r="BS1">
            <v>45360</v>
          </cell>
          <cell r="BT1">
            <v>45361</v>
          </cell>
          <cell r="BU1">
            <v>45362</v>
          </cell>
          <cell r="BV1">
            <v>45363</v>
          </cell>
          <cell r="BW1">
            <v>45364</v>
          </cell>
          <cell r="BX1">
            <v>45365</v>
          </cell>
          <cell r="BY1">
            <v>45366</v>
          </cell>
          <cell r="BZ1">
            <v>45367</v>
          </cell>
          <cell r="CA1">
            <v>45368</v>
          </cell>
          <cell r="CB1">
            <v>45369</v>
          </cell>
          <cell r="CC1">
            <v>45370</v>
          </cell>
          <cell r="CD1">
            <v>45371</v>
          </cell>
          <cell r="CE1">
            <v>45372</v>
          </cell>
          <cell r="CF1">
            <v>45373</v>
          </cell>
          <cell r="CG1">
            <v>45374</v>
          </cell>
          <cell r="CH1">
            <v>45375</v>
          </cell>
          <cell r="CI1">
            <v>45376</v>
          </cell>
          <cell r="CJ1">
            <v>45377</v>
          </cell>
          <cell r="CK1">
            <v>45378</v>
          </cell>
          <cell r="CL1">
            <v>45379</v>
          </cell>
          <cell r="CM1">
            <v>45380</v>
          </cell>
          <cell r="CN1">
            <v>45381</v>
          </cell>
          <cell r="CO1">
            <v>45382</v>
          </cell>
          <cell r="CP1">
            <v>45383</v>
          </cell>
          <cell r="CQ1">
            <v>45384</v>
          </cell>
          <cell r="CR1">
            <v>45385</v>
          </cell>
          <cell r="CS1">
            <v>45386</v>
          </cell>
          <cell r="CT1">
            <v>45387</v>
          </cell>
          <cell r="CU1">
            <v>45388</v>
          </cell>
          <cell r="CV1">
            <v>45389</v>
          </cell>
          <cell r="CW1">
            <v>45390</v>
          </cell>
          <cell r="CX1">
            <v>45391</v>
          </cell>
          <cell r="CY1">
            <v>45392</v>
          </cell>
          <cell r="CZ1">
            <v>45393</v>
          </cell>
          <cell r="DA1">
            <v>45394</v>
          </cell>
          <cell r="DB1">
            <v>45395</v>
          </cell>
          <cell r="DC1">
            <v>45396</v>
          </cell>
          <cell r="DD1">
            <v>45397</v>
          </cell>
          <cell r="DE1">
            <v>45398</v>
          </cell>
          <cell r="DF1">
            <v>45399</v>
          </cell>
          <cell r="DG1">
            <v>45400</v>
          </cell>
          <cell r="DH1">
            <v>45401</v>
          </cell>
          <cell r="DI1">
            <v>45402</v>
          </cell>
          <cell r="DJ1">
            <v>45403</v>
          </cell>
          <cell r="DK1">
            <v>45404</v>
          </cell>
          <cell r="DL1">
            <v>45405</v>
          </cell>
          <cell r="DM1">
            <v>45406</v>
          </cell>
          <cell r="DN1">
            <v>45407</v>
          </cell>
          <cell r="DO1">
            <v>45408</v>
          </cell>
          <cell r="DP1">
            <v>45409</v>
          </cell>
          <cell r="DQ1">
            <v>45410</v>
          </cell>
          <cell r="DR1">
            <v>45411</v>
          </cell>
          <cell r="DS1">
            <v>45412</v>
          </cell>
          <cell r="DT1">
            <v>45413</v>
          </cell>
          <cell r="DU1">
            <v>45414</v>
          </cell>
          <cell r="DV1">
            <v>45415</v>
          </cell>
          <cell r="DW1">
            <v>45416</v>
          </cell>
          <cell r="DX1">
            <v>45417</v>
          </cell>
          <cell r="DY1">
            <v>45418</v>
          </cell>
          <cell r="DZ1">
            <v>45419</v>
          </cell>
          <cell r="EA1">
            <v>45420</v>
          </cell>
          <cell r="EB1">
            <v>45421</v>
          </cell>
          <cell r="EC1">
            <v>45422</v>
          </cell>
          <cell r="ED1">
            <v>45423</v>
          </cell>
          <cell r="EE1">
            <v>45424</v>
          </cell>
          <cell r="EF1">
            <v>45425</v>
          </cell>
          <cell r="EG1">
            <v>45426</v>
          </cell>
          <cell r="EH1">
            <v>45427</v>
          </cell>
          <cell r="EI1">
            <v>45428</v>
          </cell>
          <cell r="EJ1">
            <v>45429</v>
          </cell>
          <cell r="EK1">
            <v>45430</v>
          </cell>
          <cell r="EL1">
            <v>45431</v>
          </cell>
          <cell r="EM1">
            <v>45432</v>
          </cell>
          <cell r="EN1">
            <v>45433</v>
          </cell>
          <cell r="EO1">
            <v>45434</v>
          </cell>
          <cell r="EP1">
            <v>45435</v>
          </cell>
          <cell r="EQ1">
            <v>45436</v>
          </cell>
          <cell r="ER1">
            <v>45437</v>
          </cell>
          <cell r="ES1">
            <v>45438</v>
          </cell>
          <cell r="ET1">
            <v>45439</v>
          </cell>
          <cell r="EU1">
            <v>45440</v>
          </cell>
          <cell r="EV1">
            <v>45441</v>
          </cell>
          <cell r="EW1">
            <v>45442</v>
          </cell>
          <cell r="EX1">
            <v>45443</v>
          </cell>
          <cell r="EY1">
            <v>45444</v>
          </cell>
          <cell r="EZ1">
            <v>45445</v>
          </cell>
          <cell r="FA1">
            <v>45446</v>
          </cell>
          <cell r="FB1">
            <v>45447</v>
          </cell>
          <cell r="FC1">
            <v>45448</v>
          </cell>
          <cell r="FD1">
            <v>45449</v>
          </cell>
          <cell r="FE1">
            <v>45450</v>
          </cell>
          <cell r="FF1">
            <v>45451</v>
          </cell>
          <cell r="FG1">
            <v>45452</v>
          </cell>
          <cell r="FH1">
            <v>45453</v>
          </cell>
          <cell r="FI1">
            <v>45454</v>
          </cell>
          <cell r="FJ1">
            <v>45455</v>
          </cell>
          <cell r="FK1">
            <v>45456</v>
          </cell>
          <cell r="FL1">
            <v>45457</v>
          </cell>
          <cell r="FM1">
            <v>45458</v>
          </cell>
          <cell r="FN1">
            <v>45459</v>
          </cell>
          <cell r="FO1">
            <v>45460</v>
          </cell>
          <cell r="FP1">
            <v>45461</v>
          </cell>
          <cell r="FQ1">
            <v>45462</v>
          </cell>
          <cell r="FR1">
            <v>45463</v>
          </cell>
          <cell r="FS1">
            <v>45464</v>
          </cell>
          <cell r="FT1">
            <v>45465</v>
          </cell>
          <cell r="FU1">
            <v>45466</v>
          </cell>
          <cell r="FV1">
            <v>45467</v>
          </cell>
          <cell r="FW1">
            <v>45468</v>
          </cell>
          <cell r="FX1">
            <v>45469</v>
          </cell>
          <cell r="FY1">
            <v>45470</v>
          </cell>
          <cell r="FZ1">
            <v>45471</v>
          </cell>
          <cell r="GA1">
            <v>45472</v>
          </cell>
          <cell r="GB1">
            <v>45473</v>
          </cell>
          <cell r="GC1">
            <v>45474</v>
          </cell>
          <cell r="GD1">
            <v>45475</v>
          </cell>
          <cell r="GE1">
            <v>45476</v>
          </cell>
          <cell r="GF1">
            <v>45477</v>
          </cell>
          <cell r="GG1">
            <v>45478</v>
          </cell>
          <cell r="GH1">
            <v>45479</v>
          </cell>
          <cell r="GI1">
            <v>45480</v>
          </cell>
          <cell r="GJ1">
            <v>45481</v>
          </cell>
          <cell r="GK1">
            <v>45482</v>
          </cell>
          <cell r="GL1">
            <v>45483</v>
          </cell>
          <cell r="GM1">
            <v>45484</v>
          </cell>
          <cell r="GN1">
            <v>45485</v>
          </cell>
          <cell r="GO1">
            <v>45486</v>
          </cell>
          <cell r="GP1">
            <v>45487</v>
          </cell>
          <cell r="GQ1">
            <v>45488</v>
          </cell>
          <cell r="GR1">
            <v>45489</v>
          </cell>
          <cell r="GS1">
            <v>45490</v>
          </cell>
          <cell r="GT1">
            <v>45491</v>
          </cell>
          <cell r="GU1">
            <v>45492</v>
          </cell>
          <cell r="GV1">
            <v>45493</v>
          </cell>
          <cell r="GW1">
            <v>45494</v>
          </cell>
          <cell r="GX1">
            <v>45495</v>
          </cell>
          <cell r="GY1">
            <v>45496</v>
          </cell>
          <cell r="GZ1">
            <v>45497</v>
          </cell>
          <cell r="HA1">
            <v>45498</v>
          </cell>
          <cell r="HB1">
            <v>45499</v>
          </cell>
          <cell r="HC1">
            <v>45500</v>
          </cell>
          <cell r="HD1">
            <v>45501</v>
          </cell>
          <cell r="HE1">
            <v>45502</v>
          </cell>
          <cell r="HF1">
            <v>45503</v>
          </cell>
          <cell r="HG1">
            <v>45504</v>
          </cell>
          <cell r="HH1">
            <v>45505</v>
          </cell>
          <cell r="HI1">
            <v>45506</v>
          </cell>
          <cell r="HJ1">
            <v>45507</v>
          </cell>
          <cell r="HK1">
            <v>45508</v>
          </cell>
          <cell r="HL1">
            <v>45509</v>
          </cell>
          <cell r="HM1">
            <v>45510</v>
          </cell>
          <cell r="HN1">
            <v>45511</v>
          </cell>
          <cell r="HO1">
            <v>45512</v>
          </cell>
          <cell r="HP1">
            <v>45513</v>
          </cell>
          <cell r="HQ1">
            <v>45514</v>
          </cell>
          <cell r="HR1">
            <v>45515</v>
          </cell>
          <cell r="HS1">
            <v>45516</v>
          </cell>
          <cell r="HT1">
            <v>45517</v>
          </cell>
          <cell r="HU1">
            <v>45518</v>
          </cell>
          <cell r="HV1">
            <v>45519</v>
          </cell>
          <cell r="HW1">
            <v>45520</v>
          </cell>
          <cell r="HX1">
            <v>45521</v>
          </cell>
          <cell r="HY1">
            <v>45522</v>
          </cell>
          <cell r="HZ1">
            <v>45523</v>
          </cell>
          <cell r="IA1">
            <v>45524</v>
          </cell>
          <cell r="IB1">
            <v>45525</v>
          </cell>
          <cell r="IC1">
            <v>45526</v>
          </cell>
          <cell r="ID1">
            <v>45527</v>
          </cell>
          <cell r="IE1">
            <v>45528</v>
          </cell>
          <cell r="IF1">
            <v>45529</v>
          </cell>
          <cell r="IG1">
            <v>45530</v>
          </cell>
          <cell r="IH1">
            <v>45531</v>
          </cell>
          <cell r="II1">
            <v>45532</v>
          </cell>
          <cell r="IJ1">
            <v>45533</v>
          </cell>
          <cell r="IK1">
            <v>45534</v>
          </cell>
          <cell r="IL1">
            <v>45535</v>
          </cell>
          <cell r="IM1">
            <v>45536</v>
          </cell>
          <cell r="IN1">
            <v>45537</v>
          </cell>
          <cell r="IO1">
            <v>45538</v>
          </cell>
          <cell r="IP1">
            <v>45539</v>
          </cell>
          <cell r="IQ1">
            <v>45540</v>
          </cell>
          <cell r="IR1">
            <v>45541</v>
          </cell>
          <cell r="IS1">
            <v>45542</v>
          </cell>
          <cell r="IT1">
            <v>45543</v>
          </cell>
          <cell r="IU1">
            <v>45544</v>
          </cell>
          <cell r="IV1">
            <v>45545</v>
          </cell>
          <cell r="IW1">
            <v>45546</v>
          </cell>
          <cell r="IX1">
            <v>45547</v>
          </cell>
          <cell r="IY1">
            <v>45548</v>
          </cell>
          <cell r="IZ1">
            <v>45549</v>
          </cell>
          <cell r="JA1">
            <v>45550</v>
          </cell>
          <cell r="JB1">
            <v>45551</v>
          </cell>
          <cell r="JC1">
            <v>45552</v>
          </cell>
          <cell r="JD1">
            <v>45553</v>
          </cell>
          <cell r="JE1">
            <v>45554</v>
          </cell>
          <cell r="JF1">
            <v>45555</v>
          </cell>
          <cell r="JG1">
            <v>45556</v>
          </cell>
          <cell r="JH1">
            <v>45557</v>
          </cell>
          <cell r="JI1">
            <v>45558</v>
          </cell>
          <cell r="JJ1">
            <v>45559</v>
          </cell>
          <cell r="JK1">
            <v>45560</v>
          </cell>
          <cell r="JL1">
            <v>45561</v>
          </cell>
          <cell r="JM1">
            <v>45562</v>
          </cell>
          <cell r="JN1">
            <v>45563</v>
          </cell>
          <cell r="JO1">
            <v>45564</v>
          </cell>
          <cell r="JP1">
            <v>45565</v>
          </cell>
          <cell r="JQ1">
            <v>45566</v>
          </cell>
          <cell r="JR1">
            <v>45567</v>
          </cell>
          <cell r="JS1">
            <v>45568</v>
          </cell>
          <cell r="JT1">
            <v>45569</v>
          </cell>
          <cell r="JU1">
            <v>45570</v>
          </cell>
          <cell r="JV1">
            <v>45571</v>
          </cell>
          <cell r="JW1">
            <v>45572</v>
          </cell>
          <cell r="JX1">
            <v>45573</v>
          </cell>
          <cell r="JY1">
            <v>45574</v>
          </cell>
          <cell r="JZ1">
            <v>45575</v>
          </cell>
          <cell r="KA1">
            <v>45576</v>
          </cell>
          <cell r="KB1">
            <v>45577</v>
          </cell>
          <cell r="KC1">
            <v>45578</v>
          </cell>
          <cell r="KD1">
            <v>45579</v>
          </cell>
          <cell r="KE1">
            <v>45580</v>
          </cell>
          <cell r="KF1">
            <v>45581</v>
          </cell>
          <cell r="KG1">
            <v>45582</v>
          </cell>
          <cell r="KH1">
            <v>45583</v>
          </cell>
          <cell r="KI1">
            <v>45584</v>
          </cell>
          <cell r="KJ1">
            <v>45585</v>
          </cell>
          <cell r="KK1">
            <v>45586</v>
          </cell>
          <cell r="KL1">
            <v>45587</v>
          </cell>
          <cell r="KM1">
            <v>45588</v>
          </cell>
          <cell r="KN1">
            <v>45589</v>
          </cell>
          <cell r="KO1">
            <v>45590</v>
          </cell>
          <cell r="KP1">
            <v>45591</v>
          </cell>
          <cell r="KQ1">
            <v>45592</v>
          </cell>
          <cell r="KR1">
            <v>45593</v>
          </cell>
          <cell r="KS1">
            <v>45594</v>
          </cell>
          <cell r="KT1">
            <v>45595</v>
          </cell>
          <cell r="KU1">
            <v>45596</v>
          </cell>
          <cell r="KV1">
            <v>45597</v>
          </cell>
          <cell r="KW1">
            <v>45598</v>
          </cell>
          <cell r="KX1">
            <v>45599</v>
          </cell>
          <cell r="KY1">
            <v>45600</v>
          </cell>
          <cell r="KZ1">
            <v>45601</v>
          </cell>
          <cell r="LA1">
            <v>45602</v>
          </cell>
          <cell r="LB1">
            <v>45603</v>
          </cell>
          <cell r="LC1">
            <v>45604</v>
          </cell>
          <cell r="LD1">
            <v>45605</v>
          </cell>
          <cell r="LE1">
            <v>45606</v>
          </cell>
          <cell r="LF1">
            <v>45607</v>
          </cell>
          <cell r="LG1">
            <v>45608</v>
          </cell>
          <cell r="LH1">
            <v>45609</v>
          </cell>
          <cell r="LI1">
            <v>45610</v>
          </cell>
          <cell r="LJ1">
            <v>45611</v>
          </cell>
          <cell r="LK1">
            <v>45612</v>
          </cell>
          <cell r="LL1">
            <v>45613</v>
          </cell>
          <cell r="LM1">
            <v>45614</v>
          </cell>
          <cell r="LN1">
            <v>45615</v>
          </cell>
          <cell r="LO1">
            <v>45616</v>
          </cell>
          <cell r="LP1">
            <v>45617</v>
          </cell>
          <cell r="LQ1">
            <v>45618</v>
          </cell>
          <cell r="LR1">
            <v>45619</v>
          </cell>
          <cell r="LS1">
            <v>45620</v>
          </cell>
          <cell r="LT1">
            <v>45621</v>
          </cell>
          <cell r="LU1">
            <v>45622</v>
          </cell>
          <cell r="LV1">
            <v>45623</v>
          </cell>
          <cell r="LW1">
            <v>45624</v>
          </cell>
          <cell r="LX1">
            <v>45625</v>
          </cell>
          <cell r="LY1">
            <v>45626</v>
          </cell>
          <cell r="LZ1">
            <v>45627</v>
          </cell>
          <cell r="MA1">
            <v>45628</v>
          </cell>
          <cell r="MB1">
            <v>45629</v>
          </cell>
          <cell r="MC1">
            <v>45630</v>
          </cell>
          <cell r="MD1">
            <v>45631</v>
          </cell>
          <cell r="ME1">
            <v>45632</v>
          </cell>
          <cell r="MF1">
            <v>45633</v>
          </cell>
          <cell r="MG1">
            <v>45634</v>
          </cell>
          <cell r="MH1">
            <v>45635</v>
          </cell>
          <cell r="MI1">
            <v>45636</v>
          </cell>
          <cell r="MJ1">
            <v>45637</v>
          </cell>
          <cell r="MK1">
            <v>45638</v>
          </cell>
          <cell r="ML1">
            <v>45639</v>
          </cell>
          <cell r="MM1">
            <v>45640</v>
          </cell>
          <cell r="MN1">
            <v>45641</v>
          </cell>
          <cell r="MO1">
            <v>45642</v>
          </cell>
          <cell r="MP1">
            <v>45643</v>
          </cell>
          <cell r="MQ1">
            <v>45644</v>
          </cell>
          <cell r="MR1">
            <v>45645</v>
          </cell>
          <cell r="MS1">
            <v>45646</v>
          </cell>
          <cell r="MT1">
            <v>45647</v>
          </cell>
          <cell r="MU1">
            <v>45648</v>
          </cell>
          <cell r="MV1">
            <v>45649</v>
          </cell>
          <cell r="MW1">
            <v>45650</v>
          </cell>
          <cell r="MX1">
            <v>45651</v>
          </cell>
          <cell r="MY1">
            <v>45652</v>
          </cell>
          <cell r="MZ1">
            <v>45653</v>
          </cell>
          <cell r="NA1">
            <v>45654</v>
          </cell>
          <cell r="NB1">
            <v>45655</v>
          </cell>
          <cell r="NC1">
            <v>45656</v>
          </cell>
          <cell r="ND1">
            <v>45657</v>
          </cell>
        </row>
        <row r="3">
          <cell r="C3">
            <v>242.48</v>
          </cell>
          <cell r="D3">
            <v>505.09</v>
          </cell>
          <cell r="E3">
            <v>773.94</v>
          </cell>
          <cell r="F3">
            <v>1044.36</v>
          </cell>
          <cell r="G3">
            <v>1312.85</v>
          </cell>
          <cell r="H3">
            <v>1578.42</v>
          </cell>
          <cell r="I3">
            <v>1841.73</v>
          </cell>
          <cell r="J3">
            <v>2113.7</v>
          </cell>
          <cell r="K3">
            <v>2383.53</v>
          </cell>
          <cell r="L3">
            <v>2655.16</v>
          </cell>
          <cell r="M3">
            <v>2924.02</v>
          </cell>
          <cell r="N3">
            <v>3190.05</v>
          </cell>
          <cell r="O3">
            <v>3450.92</v>
          </cell>
          <cell r="P3">
            <v>3706.65</v>
          </cell>
          <cell r="Q3">
            <v>3972.79</v>
          </cell>
          <cell r="R3">
            <v>4243.49</v>
          </cell>
          <cell r="S3">
            <v>4512.08</v>
          </cell>
          <cell r="T3">
            <v>4782.52</v>
          </cell>
          <cell r="U3">
            <v>5055.75</v>
          </cell>
          <cell r="V3">
            <v>5327.62</v>
          </cell>
          <cell r="W3">
            <v>5599.25</v>
          </cell>
          <cell r="X3">
            <v>5887.35</v>
          </cell>
          <cell r="Y3">
            <v>6179.52</v>
          </cell>
          <cell r="Z3">
            <v>6469.96</v>
          </cell>
          <cell r="AA3">
            <v>6753.68</v>
          </cell>
          <cell r="AB3">
            <v>7031.86</v>
          </cell>
          <cell r="AC3">
            <v>7301.56</v>
          </cell>
          <cell r="AD3">
            <v>7563.26</v>
          </cell>
          <cell r="AE3">
            <v>7825.81</v>
          </cell>
          <cell r="AF3">
            <v>8082.61</v>
          </cell>
          <cell r="AG3">
            <v>8334.18</v>
          </cell>
          <cell r="AH3">
            <v>251.35</v>
          </cell>
          <cell r="AI3">
            <v>502.32</v>
          </cell>
          <cell r="AJ3">
            <v>747.37</v>
          </cell>
          <cell r="AK3">
            <v>991.16</v>
          </cell>
          <cell r="AL3">
            <v>1231.22</v>
          </cell>
          <cell r="AM3">
            <v>1466.02</v>
          </cell>
          <cell r="AN3">
            <v>1693.89</v>
          </cell>
          <cell r="AO3">
            <v>1912.12</v>
          </cell>
          <cell r="AP3">
            <v>2119.5</v>
          </cell>
          <cell r="AQ3">
            <v>2309.25</v>
          </cell>
          <cell r="AR3">
            <v>2492.89</v>
          </cell>
          <cell r="AS3">
            <v>2674.43</v>
          </cell>
          <cell r="AT3">
            <v>2854.2</v>
          </cell>
          <cell r="AU3">
            <v>3035.89</v>
          </cell>
          <cell r="AV3">
            <v>3225.08</v>
          </cell>
          <cell r="AW3">
            <v>3418.63</v>
          </cell>
          <cell r="AX3">
            <v>3616.71</v>
          </cell>
          <cell r="AY3">
            <v>3823.29</v>
          </cell>
          <cell r="AZ3">
            <v>4041.85</v>
          </cell>
          <cell r="BA3">
            <v>4274.96</v>
          </cell>
          <cell r="BB3">
            <v>4520.28</v>
          </cell>
          <cell r="BC3">
            <v>4775.81</v>
          </cell>
          <cell r="BD3">
            <v>5036.81</v>
          </cell>
          <cell r="BE3">
            <v>5291.62</v>
          </cell>
          <cell r="BF3">
            <v>5545.66</v>
          </cell>
          <cell r="BG3">
            <v>5807.7</v>
          </cell>
          <cell r="BH3">
            <v>6069.06</v>
          </cell>
          <cell r="BI3">
            <v>6332.66</v>
          </cell>
          <cell r="BJ3">
            <v>6598.63</v>
          </cell>
          <cell r="BK3">
            <v>267.19</v>
          </cell>
          <cell r="BL3">
            <v>527.02</v>
          </cell>
          <cell r="BM3">
            <v>778.67</v>
          </cell>
          <cell r="BN3">
            <v>1037.46</v>
          </cell>
          <cell r="BO3">
            <v>1298.6</v>
          </cell>
          <cell r="BP3">
            <v>1558.48</v>
          </cell>
          <cell r="BQ3">
            <v>1815.83</v>
          </cell>
          <cell r="BR3">
            <v>2070.5</v>
          </cell>
          <cell r="BS3">
            <v>2321.51</v>
          </cell>
          <cell r="BT3">
            <v>2566.2</v>
          </cell>
          <cell r="BU3">
            <v>2812.49</v>
          </cell>
          <cell r="BV3">
            <v>3058.96</v>
          </cell>
          <cell r="BW3">
            <v>3306.56</v>
          </cell>
          <cell r="BX3">
            <v>3554.07</v>
          </cell>
          <cell r="BY3">
            <v>3798.9</v>
          </cell>
          <cell r="BZ3">
            <v>4039.3</v>
          </cell>
          <cell r="CA3">
            <v>4275.76</v>
          </cell>
          <cell r="CB3">
            <v>4520.54</v>
          </cell>
          <cell r="CC3">
            <v>4764.83</v>
          </cell>
          <cell r="CD3">
            <v>5006.01</v>
          </cell>
          <cell r="CE3">
            <v>5248.03</v>
          </cell>
          <cell r="CF3">
            <v>5489.8</v>
          </cell>
          <cell r="CG3">
            <v>5729.06</v>
          </cell>
          <cell r="CH3">
            <v>5964.3</v>
          </cell>
          <cell r="CI3">
            <v>6206.02</v>
          </cell>
          <cell r="CJ3">
            <v>6448.43</v>
          </cell>
          <cell r="CK3">
            <v>6692.7</v>
          </cell>
          <cell r="CL3">
            <v>6935.05</v>
          </cell>
          <cell r="CM3">
            <v>7276.71</v>
          </cell>
          <cell r="CN3">
            <v>7415.31</v>
          </cell>
          <cell r="CO3">
            <v>7648.64</v>
          </cell>
          <cell r="CP3">
            <v>237.25</v>
          </cell>
          <cell r="CQ3">
            <v>476.69</v>
          </cell>
          <cell r="CR3">
            <v>716.12</v>
          </cell>
          <cell r="CS3">
            <v>933.67</v>
          </cell>
          <cell r="CT3">
            <v>1156.34</v>
          </cell>
          <cell r="CU3">
            <v>1387.9</v>
          </cell>
          <cell r="CV3">
            <v>1623.93</v>
          </cell>
          <cell r="CW3">
            <v>1861.59</v>
          </cell>
          <cell r="CX3">
            <v>2098.58</v>
          </cell>
          <cell r="CY3">
            <v>2335.73</v>
          </cell>
          <cell r="CZ3">
            <v>2573.84</v>
          </cell>
          <cell r="DA3">
            <v>2813.31</v>
          </cell>
          <cell r="DB3">
            <v>3051.67</v>
          </cell>
          <cell r="DC3">
            <v>3285.03</v>
          </cell>
          <cell r="DD3">
            <v>3525.54</v>
          </cell>
          <cell r="DE3">
            <v>3766.62</v>
          </cell>
          <cell r="DF3">
            <v>4008.85</v>
          </cell>
          <cell r="DG3">
            <v>4249.92</v>
          </cell>
          <cell r="DH3">
            <v>4489.4</v>
          </cell>
          <cell r="DI3">
            <v>4726.72</v>
          </cell>
          <cell r="DJ3">
            <v>4957.32</v>
          </cell>
          <cell r="DK3">
            <v>5193.82</v>
          </cell>
          <cell r="DL3">
            <v>5431.92</v>
          </cell>
          <cell r="DM3">
            <v>5670.8</v>
          </cell>
          <cell r="DN3">
            <v>5910.49</v>
          </cell>
          <cell r="DO3">
            <v>6152.52</v>
          </cell>
          <cell r="DP3">
            <v>6394.31</v>
          </cell>
          <cell r="DQ3">
            <v>6635.11</v>
          </cell>
          <cell r="DR3">
            <v>6876.6</v>
          </cell>
          <cell r="DS3">
            <v>7112.67</v>
          </cell>
          <cell r="DT3">
            <v>208.11</v>
          </cell>
          <cell r="DU3">
            <v>417.79</v>
          </cell>
          <cell r="DV3">
            <v>637.84</v>
          </cell>
          <cell r="DW3">
            <v>863.7</v>
          </cell>
          <cell r="DX3">
            <v>1093.93</v>
          </cell>
          <cell r="DY3">
            <v>1332</v>
          </cell>
          <cell r="DZ3">
            <v>1572.73</v>
          </cell>
          <cell r="EA3">
            <v>1814.22</v>
          </cell>
          <cell r="EB3">
            <v>2054.41</v>
          </cell>
          <cell r="EC3">
            <v>2295.81</v>
          </cell>
          <cell r="ED3">
            <v>2537.39</v>
          </cell>
          <cell r="EE3">
            <v>2772.22</v>
          </cell>
          <cell r="EF3">
            <v>3011.89</v>
          </cell>
          <cell r="EG3">
            <v>3254.38</v>
          </cell>
          <cell r="EH3">
            <v>3496.48</v>
          </cell>
          <cell r="EI3">
            <v>3739.16</v>
          </cell>
          <cell r="EJ3">
            <v>3987.35</v>
          </cell>
          <cell r="EK3">
            <v>4235.28</v>
          </cell>
          <cell r="EL3">
            <v>4475.71</v>
          </cell>
          <cell r="EM3">
            <v>4720.57</v>
          </cell>
          <cell r="EN3">
            <v>4968.06</v>
          </cell>
          <cell r="EO3">
            <v>5217.75</v>
          </cell>
          <cell r="EP3">
            <v>5471.38</v>
          </cell>
          <cell r="EQ3">
            <v>5726.65</v>
          </cell>
          <cell r="ER3">
            <v>5979</v>
          </cell>
          <cell r="ES3">
            <v>6226.46</v>
          </cell>
          <cell r="ET3">
            <v>6476.37</v>
          </cell>
          <cell r="EU3">
            <v>6724.6</v>
          </cell>
          <cell r="EV3">
            <v>6970.94</v>
          </cell>
          <cell r="EW3">
            <v>7217.14</v>
          </cell>
          <cell r="EX3">
            <v>7465.16</v>
          </cell>
          <cell r="EY3">
            <v>241.68</v>
          </cell>
          <cell r="EZ3">
            <v>480.58</v>
          </cell>
          <cell r="FA3">
            <v>729.04</v>
          </cell>
          <cell r="FB3">
            <v>978.17</v>
          </cell>
          <cell r="FC3">
            <v>1226.11</v>
          </cell>
          <cell r="FD3">
            <v>1475.01</v>
          </cell>
          <cell r="FE3">
            <v>1724.1</v>
          </cell>
          <cell r="FF3">
            <v>1972.04</v>
          </cell>
          <cell r="FG3">
            <v>2214.48</v>
          </cell>
          <cell r="FH3">
            <v>2446.7</v>
          </cell>
          <cell r="FI3">
            <v>2703.02</v>
          </cell>
          <cell r="FJ3">
            <v>2974.32</v>
          </cell>
          <cell r="FK3">
            <v>3253.87</v>
          </cell>
          <cell r="FL3">
            <v>3535.41</v>
          </cell>
          <cell r="FM3">
            <v>3814.19</v>
          </cell>
          <cell r="FN3">
            <v>4080.72</v>
          </cell>
          <cell r="FO3">
            <v>4353.35</v>
          </cell>
          <cell r="FP3">
            <v>4629.5</v>
          </cell>
          <cell r="FQ3">
            <v>4906.18</v>
          </cell>
          <cell r="FR3">
            <v>5186.83</v>
          </cell>
          <cell r="FS3">
            <v>5467.05</v>
          </cell>
          <cell r="FT3">
            <v>5745.76</v>
          </cell>
          <cell r="FU3">
            <v>6015.71</v>
          </cell>
          <cell r="FV3">
            <v>6289.78</v>
          </cell>
          <cell r="FW3">
            <v>6563.56</v>
          </cell>
          <cell r="FX3">
            <v>6837.26</v>
          </cell>
          <cell r="FY3">
            <v>7110.51</v>
          </cell>
          <cell r="FZ3">
            <v>7386.7</v>
          </cell>
          <cell r="GA3">
            <v>7660.61</v>
          </cell>
          <cell r="GB3">
            <v>7930.7</v>
          </cell>
          <cell r="GC3">
            <v>272.99</v>
          </cell>
          <cell r="GD3">
            <v>543.62</v>
          </cell>
          <cell r="GE3">
            <v>819.34</v>
          </cell>
          <cell r="GF3">
            <v>1102.02</v>
          </cell>
          <cell r="GG3">
            <v>1392.53</v>
          </cell>
          <cell r="GH3">
            <v>1684.2</v>
          </cell>
          <cell r="GI3">
            <v>1973.83</v>
          </cell>
          <cell r="GJ3">
            <v>2272.09</v>
          </cell>
          <cell r="GK3">
            <v>2569.24</v>
          </cell>
          <cell r="GL3">
            <v>2864.33</v>
          </cell>
          <cell r="GM3">
            <v>3156.37</v>
          </cell>
          <cell r="GN3">
            <v>3449.89</v>
          </cell>
          <cell r="GO3">
            <v>3736.15</v>
          </cell>
          <cell r="GP3">
            <v>4014.57</v>
          </cell>
          <cell r="GQ3">
            <v>4305.55</v>
          </cell>
          <cell r="GR3">
            <v>4602.75</v>
          </cell>
          <cell r="GS3">
            <v>4901.53</v>
          </cell>
          <cell r="GT3">
            <v>5204.05</v>
          </cell>
          <cell r="GU3">
            <v>5511.05</v>
          </cell>
          <cell r="GV3">
            <v>5812.35</v>
          </cell>
          <cell r="GW3">
            <v>6116.38</v>
          </cell>
          <cell r="GX3">
            <v>6434.3</v>
          </cell>
          <cell r="GY3">
            <v>6758.94</v>
          </cell>
          <cell r="GZ3">
            <v>7084.23</v>
          </cell>
          <cell r="HA3">
            <v>7398.86</v>
          </cell>
          <cell r="HB3">
            <v>7708.73</v>
          </cell>
          <cell r="HC3">
            <v>8006.54</v>
          </cell>
          <cell r="HD3">
            <v>8293.57</v>
          </cell>
          <cell r="HE3">
            <v>8591.6</v>
          </cell>
          <cell r="HF3">
            <v>8892</v>
          </cell>
          <cell r="HG3">
            <v>9196.49</v>
          </cell>
          <cell r="HH3">
            <v>308.94</v>
          </cell>
          <cell r="HI3">
            <v>625.1</v>
          </cell>
          <cell r="HJ3">
            <v>941.03</v>
          </cell>
          <cell r="HK3">
            <v>1248.45</v>
          </cell>
          <cell r="HL3">
            <v>1563.8</v>
          </cell>
          <cell r="HM3">
            <v>1880.53</v>
          </cell>
          <cell r="HN3">
            <v>2197.21</v>
          </cell>
          <cell r="HO3">
            <v>2515.78</v>
          </cell>
          <cell r="HP3">
            <v>2833.95</v>
          </cell>
          <cell r="HQ3">
            <v>3145.41</v>
          </cell>
          <cell r="HR3">
            <v>3447.58</v>
          </cell>
          <cell r="HS3">
            <v>3757.25</v>
          </cell>
          <cell r="HT3">
            <v>4064.78</v>
          </cell>
          <cell r="HU3">
            <v>4369.45</v>
          </cell>
          <cell r="HV3">
            <v>4671.69</v>
          </cell>
          <cell r="HW3">
            <v>4972.22</v>
          </cell>
          <cell r="HX3">
            <v>5269.11</v>
          </cell>
          <cell r="HY3">
            <v>5555.52</v>
          </cell>
          <cell r="HZ3">
            <v>5848.06</v>
          </cell>
          <cell r="IA3">
            <v>6143.87</v>
          </cell>
          <cell r="IB3">
            <v>6440.51</v>
          </cell>
          <cell r="IC3">
            <v>6745.41</v>
          </cell>
          <cell r="ID3">
            <v>7058.45</v>
          </cell>
          <cell r="IE3">
            <v>7370.46</v>
          </cell>
          <cell r="IF3">
            <v>7675</v>
          </cell>
          <cell r="IG3">
            <v>7981.62</v>
          </cell>
          <cell r="IH3">
            <v>8280.54</v>
          </cell>
          <cell r="II3">
            <v>8574.95</v>
          </cell>
          <cell r="IJ3">
            <v>8870.76</v>
          </cell>
          <cell r="IK3">
            <v>9172.23</v>
          </cell>
          <cell r="IL3">
            <v>9473.35</v>
          </cell>
          <cell r="IM3">
            <v>297.32</v>
          </cell>
          <cell r="IN3">
            <v>598.23</v>
          </cell>
          <cell r="IO3">
            <v>894.56</v>
          </cell>
          <cell r="IP3">
            <v>1196.03</v>
          </cell>
          <cell r="IQ3">
            <v>1497.65</v>
          </cell>
          <cell r="IR3">
            <v>1790.3</v>
          </cell>
          <cell r="IS3">
            <v>2077.09</v>
          </cell>
          <cell r="IT3">
            <v>2361.19</v>
          </cell>
          <cell r="IU3">
            <v>2657.58</v>
          </cell>
          <cell r="IV3">
            <v>2949.58</v>
          </cell>
          <cell r="IW3">
            <v>3234.84</v>
          </cell>
          <cell r="IX3">
            <v>3519.23</v>
          </cell>
          <cell r="IY3">
            <v>3805.78</v>
          </cell>
          <cell r="IZ3">
            <v>4088.58</v>
          </cell>
          <cell r="JA3">
            <v>4358.96</v>
          </cell>
          <cell r="JB3">
            <v>4616.26</v>
          </cell>
          <cell r="JC3">
            <v>4861.95</v>
          </cell>
          <cell r="JD3">
            <v>5135.31</v>
          </cell>
          <cell r="JE3">
            <v>5419.8</v>
          </cell>
          <cell r="JF3">
            <v>5705.39</v>
          </cell>
          <cell r="JG3">
            <v>5971.72</v>
          </cell>
          <cell r="JH3">
            <v>6222.24</v>
          </cell>
          <cell r="JI3">
            <v>6472.16</v>
          </cell>
          <cell r="JJ3">
            <v>6724.32</v>
          </cell>
          <cell r="JK3">
            <v>6981.14</v>
          </cell>
          <cell r="JL3">
            <v>7242.02</v>
          </cell>
          <cell r="JM3">
            <v>7505.61</v>
          </cell>
          <cell r="JN3">
            <v>7769.22</v>
          </cell>
          <cell r="JO3">
            <v>8034.72</v>
          </cell>
          <cell r="JP3">
            <v>8289.57</v>
          </cell>
          <cell r="JQ3">
            <v>218.68</v>
          </cell>
          <cell r="JR3">
            <v>428.52</v>
          </cell>
          <cell r="JS3">
            <v>642.88</v>
          </cell>
          <cell r="JT3">
            <v>866.35</v>
          </cell>
          <cell r="JU3">
            <v>1098.3</v>
          </cell>
          <cell r="JV3">
            <v>1335.4</v>
          </cell>
          <cell r="JW3">
            <v>1577.78</v>
          </cell>
          <cell r="JX3">
            <v>1823.43</v>
          </cell>
          <cell r="JY3">
            <v>2068.26</v>
          </cell>
        </row>
        <row r="4">
          <cell r="C4">
            <v>0.0698</v>
          </cell>
          <cell r="D4">
            <v>0.0963</v>
          </cell>
          <cell r="E4">
            <v>0.1016</v>
          </cell>
          <cell r="F4">
            <v>0.1064</v>
          </cell>
          <cell r="G4">
            <v>0.1104</v>
          </cell>
          <cell r="H4">
            <v>0.1152</v>
          </cell>
          <cell r="I4">
            <v>0.1205</v>
          </cell>
          <cell r="J4">
            <v>0.1322</v>
          </cell>
          <cell r="K4">
            <v>0.1389</v>
          </cell>
          <cell r="L4">
            <v>0.1459</v>
          </cell>
          <cell r="M4">
            <v>0.1511</v>
          </cell>
          <cell r="N4">
            <v>0.1564</v>
          </cell>
          <cell r="O4">
            <v>0.1601</v>
          </cell>
          <cell r="P4">
            <v>0.1608</v>
          </cell>
          <cell r="Q4">
            <v>0.1631</v>
          </cell>
          <cell r="R4">
            <v>0.1658</v>
          </cell>
          <cell r="S4">
            <v>0.1693</v>
          </cell>
          <cell r="T4">
            <v>0.1752</v>
          </cell>
          <cell r="U4">
            <v>0.1839</v>
          </cell>
          <cell r="V4">
            <v>0.1926</v>
          </cell>
          <cell r="W4">
            <v>0.202</v>
          </cell>
          <cell r="X4">
            <v>0.2168</v>
          </cell>
          <cell r="Y4">
            <v>0.2305</v>
          </cell>
          <cell r="Z4">
            <v>0.241</v>
          </cell>
          <cell r="AA4">
            <v>0.2484</v>
          </cell>
          <cell r="AB4">
            <v>0.2538</v>
          </cell>
          <cell r="AC4">
            <v>0.2567</v>
          </cell>
          <cell r="AD4">
            <v>0.2567</v>
          </cell>
          <cell r="AE4">
            <v>0.2563</v>
          </cell>
          <cell r="AF4">
            <v>0.2548</v>
          </cell>
          <cell r="AG4">
            <v>0.2527</v>
          </cell>
          <cell r="AH4">
            <v>0.1476</v>
          </cell>
          <cell r="AI4">
            <v>0.1239</v>
          </cell>
          <cell r="AJ4">
            <v>0.1034</v>
          </cell>
          <cell r="AK4">
            <v>0.0952</v>
          </cell>
          <cell r="AL4">
            <v>0.0943</v>
          </cell>
          <cell r="AM4">
            <v>0.0812</v>
          </cell>
          <cell r="AN4">
            <v>0.0642</v>
          </cell>
          <cell r="AO4">
            <v>0.0439</v>
          </cell>
          <cell r="AP4">
            <v>0.0215</v>
          </cell>
          <cell r="AQ4">
            <v>-0.0046</v>
          </cell>
          <cell r="AR4">
            <v>-0.0267</v>
          </cell>
          <cell r="AS4">
            <v>-0.0442</v>
          </cell>
          <cell r="AT4">
            <v>-0.0631</v>
          </cell>
          <cell r="AU4">
            <v>-0.0791</v>
          </cell>
          <cell r="AV4">
            <v>-0.0906</v>
          </cell>
          <cell r="AW4">
            <v>-0.0992</v>
          </cell>
          <cell r="AX4">
            <v>-0.1053</v>
          </cell>
          <cell r="AY4">
            <v>-0.1074</v>
          </cell>
          <cell r="AZ4">
            <v>-0.1056</v>
          </cell>
          <cell r="BA4">
            <v>-0.1021</v>
          </cell>
          <cell r="BB4">
            <v>-0.0975</v>
          </cell>
          <cell r="BC4">
            <v>-0.0919</v>
          </cell>
          <cell r="BD4">
            <v>-0.0858</v>
          </cell>
          <cell r="BE4">
            <v>-0.0812</v>
          </cell>
          <cell r="BF4">
            <v>-0.0762</v>
          </cell>
          <cell r="BG4">
            <v>-0.0692</v>
          </cell>
          <cell r="BH4">
            <v>-0.0635</v>
          </cell>
          <cell r="BI4">
            <v>-0.0576</v>
          </cell>
          <cell r="BJ4">
            <v>-0.0519</v>
          </cell>
          <cell r="BK4">
            <v>0.1288</v>
          </cell>
          <cell r="BL4">
            <v>0.1092</v>
          </cell>
          <cell r="BM4">
            <v>0.0911</v>
          </cell>
          <cell r="BN4">
            <v>0.0955</v>
          </cell>
          <cell r="BO4">
            <v>0.1067</v>
          </cell>
          <cell r="BP4">
            <v>0.1106</v>
          </cell>
          <cell r="BQ4">
            <v>0.1113</v>
          </cell>
          <cell r="BR4">
            <v>0.1109</v>
          </cell>
          <cell r="BS4">
            <v>0.1092</v>
          </cell>
          <cell r="BT4">
            <v>0.105</v>
          </cell>
          <cell r="BU4">
            <v>0.1028</v>
          </cell>
          <cell r="BV4">
            <v>0.1022</v>
          </cell>
          <cell r="BW4">
            <v>0.1003</v>
          </cell>
          <cell r="BX4">
            <v>0.0983</v>
          </cell>
          <cell r="BY4">
            <v>0.0954</v>
          </cell>
          <cell r="BZ4">
            <v>0.0908</v>
          </cell>
          <cell r="CA4">
            <v>0.0847</v>
          </cell>
          <cell r="CB4">
            <v>0.0822</v>
          </cell>
          <cell r="CC4">
            <v>0.0814</v>
          </cell>
          <cell r="CD4">
            <v>0.0788</v>
          </cell>
          <cell r="CE4">
            <v>0.0765</v>
          </cell>
          <cell r="CF4">
            <v>0.0742</v>
          </cell>
          <cell r="CG4">
            <v>0.0714</v>
          </cell>
          <cell r="CH4">
            <v>0.068</v>
          </cell>
          <cell r="CI4">
            <v>0.0667</v>
          </cell>
          <cell r="CJ4">
            <v>0.0671</v>
          </cell>
          <cell r="CK4">
            <v>0.067</v>
          </cell>
          <cell r="CL4">
            <v>0.0665</v>
          </cell>
          <cell r="CM4">
            <v>0.0661</v>
          </cell>
          <cell r="CN4">
            <v>0.0655</v>
          </cell>
          <cell r="CO4">
            <v>0.0645</v>
          </cell>
          <cell r="CP4">
            <v>0.0762</v>
          </cell>
          <cell r="CQ4">
            <v>0.0888</v>
          </cell>
          <cell r="CR4">
            <v>0.086</v>
          </cell>
          <cell r="CS4">
            <v>0.0601</v>
          </cell>
          <cell r="CT4">
            <v>0.0628</v>
          </cell>
          <cell r="CU4">
            <v>0.0608</v>
          </cell>
          <cell r="CV4">
            <v>0.0596</v>
          </cell>
          <cell r="CW4">
            <v>0.0614</v>
          </cell>
          <cell r="CX4">
            <v>0.0648</v>
          </cell>
          <cell r="CY4">
            <v>0.0655</v>
          </cell>
          <cell r="CZ4">
            <v>0.065</v>
          </cell>
          <cell r="DA4">
            <v>0.0653</v>
          </cell>
          <cell r="DB4">
            <v>0.0649</v>
          </cell>
          <cell r="DC4">
            <v>0.0626</v>
          </cell>
          <cell r="DD4">
            <v>0.064</v>
          </cell>
          <cell r="DE4">
            <v>0.0672</v>
          </cell>
          <cell r="DF4">
            <v>0.0676</v>
          </cell>
          <cell r="DG4">
            <v>0.0667</v>
          </cell>
          <cell r="DH4">
            <v>0.0658</v>
          </cell>
          <cell r="DI4">
            <v>0.0647</v>
          </cell>
          <cell r="DJ4">
            <v>0.0624</v>
          </cell>
          <cell r="DK4">
            <v>0.0624</v>
          </cell>
          <cell r="DL4">
            <v>0.0627</v>
          </cell>
          <cell r="DM4">
            <v>0.0624</v>
          </cell>
          <cell r="DN4">
            <v>0.0626</v>
          </cell>
          <cell r="DO4">
            <v>0.0637</v>
          </cell>
          <cell r="DP4">
            <v>0.0644</v>
          </cell>
          <cell r="DQ4">
            <v>0.0647</v>
          </cell>
          <cell r="DR4">
            <v>0.0665</v>
          </cell>
          <cell r="DS4">
            <v>0.0691</v>
          </cell>
          <cell r="DT4">
            <v>0.0987</v>
          </cell>
          <cell r="DU4">
            <v>0.0827</v>
          </cell>
          <cell r="DV4">
            <v>0.0709</v>
          </cell>
          <cell r="DW4">
            <v>0.0556</v>
          </cell>
          <cell r="DX4">
            <v>0.0478</v>
          </cell>
          <cell r="DY4">
            <v>0.0488</v>
          </cell>
          <cell r="DZ4">
            <v>0.0564</v>
          </cell>
          <cell r="EA4">
            <v>0.0613</v>
          </cell>
          <cell r="EB4">
            <v>0.0637</v>
          </cell>
          <cell r="EC4">
            <v>0.0656</v>
          </cell>
          <cell r="ED4">
            <v>0.0677</v>
          </cell>
          <cell r="EE4">
            <v>0.0666</v>
          </cell>
          <cell r="EF4">
            <v>0.0681</v>
          </cell>
          <cell r="EG4">
            <v>0.0719</v>
          </cell>
          <cell r="EH4">
            <v>0.0719</v>
          </cell>
          <cell r="EI4">
            <v>0.0706</v>
          </cell>
          <cell r="EJ4">
            <v>0.0704</v>
          </cell>
          <cell r="EK4">
            <v>0.0696</v>
          </cell>
          <cell r="EL4">
            <v>0.0669</v>
          </cell>
          <cell r="EM4">
            <v>0.0661</v>
          </cell>
          <cell r="EN4">
            <v>0.0676</v>
          </cell>
          <cell r="EO4">
            <v>0.0684</v>
          </cell>
          <cell r="EP4">
            <v>0.0703</v>
          </cell>
          <cell r="EQ4">
            <v>0.0727</v>
          </cell>
          <cell r="ER4">
            <v>0.0741</v>
          </cell>
          <cell r="ES4">
            <v>0.0737</v>
          </cell>
          <cell r="ET4">
            <v>0.0739</v>
          </cell>
          <cell r="EU4">
            <v>0.074</v>
          </cell>
          <cell r="EV4">
            <v>0.0721</v>
          </cell>
          <cell r="EW4">
            <v>0.0696</v>
          </cell>
          <cell r="EX4">
            <v>0.0675</v>
          </cell>
          <cell r="EY4">
            <v>-0.0029</v>
          </cell>
          <cell r="EZ4">
            <v>-0.0152</v>
          </cell>
          <cell r="FA4">
            <v>0</v>
          </cell>
          <cell r="FB4">
            <v>0.0169</v>
          </cell>
          <cell r="FC4">
            <v>0.0209</v>
          </cell>
          <cell r="FD4">
            <v>0.0234</v>
          </cell>
          <cell r="FE4">
            <v>0.0243</v>
          </cell>
          <cell r="FF4">
            <v>0.0232</v>
          </cell>
          <cell r="FG4">
            <v>0.0176</v>
          </cell>
          <cell r="FH4">
            <v>0.0091</v>
          </cell>
          <cell r="FI4">
            <v>0.0135</v>
          </cell>
          <cell r="FJ4">
            <v>0.0193</v>
          </cell>
          <cell r="FK4">
            <v>0.0261</v>
          </cell>
          <cell r="FL4">
            <v>0.0325</v>
          </cell>
          <cell r="FM4">
            <v>0.0368</v>
          </cell>
          <cell r="FN4">
            <v>0.0377</v>
          </cell>
          <cell r="FO4">
            <v>0.0416</v>
          </cell>
          <cell r="FP4">
            <v>0.0469</v>
          </cell>
          <cell r="FQ4">
            <v>0.05</v>
          </cell>
          <cell r="FR4">
            <v>0.0522</v>
          </cell>
          <cell r="FS4">
            <v>0.0537</v>
          </cell>
          <cell r="FT4">
            <v>0.0591</v>
          </cell>
          <cell r="FU4">
            <v>0.0616</v>
          </cell>
          <cell r="FV4">
            <v>0.0635</v>
          </cell>
          <cell r="FW4">
            <v>0.0643</v>
          </cell>
          <cell r="FX4">
            <v>0.0642</v>
          </cell>
          <cell r="FY4">
            <v>0.0626</v>
          </cell>
          <cell r="FZ4">
            <v>0.0608</v>
          </cell>
          <cell r="GA4">
            <v>0.0589</v>
          </cell>
          <cell r="GB4">
            <v>0.0569</v>
          </cell>
          <cell r="GC4">
            <v>0.0213</v>
          </cell>
          <cell r="GD4">
            <v>0.0195</v>
          </cell>
          <cell r="GE4">
            <v>0.0151</v>
          </cell>
          <cell r="GF4">
            <v>0.0235</v>
          </cell>
          <cell r="GG4">
            <v>0.0318</v>
          </cell>
          <cell r="GH4">
            <v>0.0317</v>
          </cell>
          <cell r="GI4">
            <v>0.0282</v>
          </cell>
          <cell r="GJ4">
            <v>0.0299</v>
          </cell>
          <cell r="GK4">
            <v>0.0319</v>
          </cell>
          <cell r="GL4">
            <v>0.0279</v>
          </cell>
          <cell r="GM4">
            <v>0.022</v>
          </cell>
          <cell r="GN4">
            <v>0.0187</v>
          </cell>
          <cell r="GO4">
            <v>0.0157</v>
          </cell>
          <cell r="GP4">
            <v>0.0118</v>
          </cell>
          <cell r="GQ4">
            <v>0.0126</v>
          </cell>
          <cell r="GR4">
            <v>0.0174</v>
          </cell>
          <cell r="GS4">
            <v>0.0206</v>
          </cell>
          <cell r="GT4">
            <v>0.0237</v>
          </cell>
          <cell r="GU4">
            <v>0.0272</v>
          </cell>
          <cell r="GV4">
            <v>0.0293</v>
          </cell>
          <cell r="GW4">
            <v>0.032</v>
          </cell>
          <cell r="GX4">
            <v>0.0375</v>
          </cell>
          <cell r="GY4">
            <v>0.0436</v>
          </cell>
          <cell r="GZ4">
            <v>0.0471</v>
          </cell>
          <cell r="HA4">
            <v>0.0489</v>
          </cell>
          <cell r="HB4">
            <v>0.0498</v>
          </cell>
          <cell r="HC4">
            <v>0.0494</v>
          </cell>
          <cell r="HD4">
            <v>0.0487</v>
          </cell>
          <cell r="HE4">
            <v>0.0507</v>
          </cell>
          <cell r="HF4">
            <v>0.0539</v>
          </cell>
          <cell r="HG4">
            <v>0.0559</v>
          </cell>
          <cell r="HH4">
            <v>0.1246</v>
          </cell>
          <cell r="HI4">
            <v>0.123</v>
          </cell>
          <cell r="HJ4">
            <v>0.1099</v>
          </cell>
          <cell r="HK4">
            <v>0.0877</v>
          </cell>
          <cell r="HL4">
            <v>0.0837</v>
          </cell>
          <cell r="HM4">
            <v>0.0901</v>
          </cell>
          <cell r="HN4">
            <v>0.092</v>
          </cell>
          <cell r="HO4">
            <v>0.093</v>
          </cell>
          <cell r="HP4">
            <v>0.0923</v>
          </cell>
          <cell r="HQ4">
            <v>0.089</v>
          </cell>
          <cell r="HR4">
            <v>0.0836</v>
          </cell>
          <cell r="HS4">
            <v>0.0837</v>
          </cell>
          <cell r="HT4">
            <v>0.0855</v>
          </cell>
          <cell r="HU4">
            <v>0.0832</v>
          </cell>
          <cell r="HV4">
            <v>0.0803</v>
          </cell>
          <cell r="HW4">
            <v>0.0761</v>
          </cell>
          <cell r="HX4">
            <v>0.0715</v>
          </cell>
          <cell r="HY4">
            <v>0.0659</v>
          </cell>
          <cell r="HZ4">
            <v>0.0633</v>
          </cell>
          <cell r="IA4">
            <v>0.0636</v>
          </cell>
          <cell r="IB4">
            <v>0.0632</v>
          </cell>
          <cell r="IC4">
            <v>0.064</v>
          </cell>
          <cell r="ID4">
            <v>0.0664</v>
          </cell>
          <cell r="IE4">
            <v>0.0693</v>
          </cell>
          <cell r="IF4">
            <v>0.0711</v>
          </cell>
          <cell r="IG4">
            <v>0.0744</v>
          </cell>
          <cell r="IH4">
            <v>0.0781</v>
          </cell>
          <cell r="II4">
            <v>0.0806</v>
          </cell>
          <cell r="IJ4">
            <v>0.0838</v>
          </cell>
          <cell r="IK4">
            <v>0.0877</v>
          </cell>
          <cell r="IL4">
            <v>0.0911</v>
          </cell>
          <cell r="IM4">
            <v>0.1996</v>
          </cell>
          <cell r="IN4">
            <v>0.2118</v>
          </cell>
          <cell r="IO4">
            <v>0.2078</v>
          </cell>
          <cell r="IP4">
            <v>0.1927</v>
          </cell>
          <cell r="IQ4">
            <v>0.1798</v>
          </cell>
          <cell r="IR4">
            <v>0.1634</v>
          </cell>
          <cell r="IS4">
            <v>0.1485</v>
          </cell>
          <cell r="IT4">
            <v>0.1366</v>
          </cell>
          <cell r="IU4">
            <v>0.1351</v>
          </cell>
          <cell r="IV4">
            <v>0.1356</v>
          </cell>
          <cell r="IW4">
            <v>0.1313</v>
          </cell>
          <cell r="IX4">
            <v>0.1293</v>
          </cell>
          <cell r="IY4">
            <v>0.1297</v>
          </cell>
          <cell r="IZ4">
            <v>0.1294</v>
          </cell>
          <cell r="JA4">
            <v>0.1257</v>
          </cell>
          <cell r="JB4">
            <v>0.1196</v>
          </cell>
          <cell r="JC4">
            <v>0.1117</v>
          </cell>
          <cell r="JD4">
            <v>0.1074</v>
          </cell>
          <cell r="JE4">
            <v>0.1052</v>
          </cell>
          <cell r="JF4">
            <v>0.1048</v>
          </cell>
          <cell r="JG4">
            <v>0.1023</v>
          </cell>
          <cell r="JH4">
            <v>0.0977</v>
          </cell>
          <cell r="JI4">
            <v>0.0942</v>
          </cell>
          <cell r="JJ4">
            <v>0.092</v>
          </cell>
          <cell r="JK4">
            <v>0.0895</v>
          </cell>
          <cell r="JL4">
            <v>0.0875</v>
          </cell>
          <cell r="JM4">
            <v>0.086</v>
          </cell>
          <cell r="JN4">
            <v>0.0855</v>
          </cell>
          <cell r="JO4">
            <v>0.0892</v>
          </cell>
          <cell r="JP4">
            <v>0.092</v>
          </cell>
          <cell r="JQ4">
            <v>0.0513</v>
          </cell>
          <cell r="JR4">
            <v>0.0206</v>
          </cell>
          <cell r="JS4">
            <v>0.0062</v>
          </cell>
          <cell r="JT4">
            <v>-0.0027</v>
          </cell>
          <cell r="JU4">
            <v>-0.003</v>
          </cell>
          <cell r="JV4">
            <v>0.0002</v>
          </cell>
          <cell r="JW4">
            <v>0.0062</v>
          </cell>
          <cell r="JX4">
            <v>0.0142</v>
          </cell>
          <cell r="JY4">
            <v>0.0191</v>
          </cell>
        </row>
        <row r="6">
          <cell r="C6">
            <v>242.48</v>
          </cell>
          <cell r="D6">
            <v>505.09</v>
          </cell>
          <cell r="E6">
            <v>773.94</v>
          </cell>
          <cell r="F6">
            <v>1044.36</v>
          </cell>
          <cell r="G6">
            <v>1312.85</v>
          </cell>
          <cell r="H6">
            <v>1578.42</v>
          </cell>
          <cell r="I6">
            <v>1841.73</v>
          </cell>
          <cell r="J6">
            <v>2113.7</v>
          </cell>
          <cell r="K6">
            <v>2383.53</v>
          </cell>
          <cell r="L6">
            <v>2655.16</v>
          </cell>
          <cell r="M6">
            <v>2926.02</v>
          </cell>
          <cell r="N6">
            <v>3190.05</v>
          </cell>
          <cell r="O6">
            <v>3450.92</v>
          </cell>
          <cell r="P6">
            <v>3706.65</v>
          </cell>
          <cell r="Q6">
            <v>3972.79</v>
          </cell>
          <cell r="R6">
            <v>4243.49</v>
          </cell>
          <cell r="S6">
            <v>4512.08</v>
          </cell>
          <cell r="T6">
            <v>4782.52</v>
          </cell>
          <cell r="U6">
            <v>5055.75</v>
          </cell>
          <cell r="V6">
            <v>5327.62</v>
          </cell>
          <cell r="W6">
            <v>5599.25</v>
          </cell>
          <cell r="X6">
            <v>5887.35</v>
          </cell>
          <cell r="Y6">
            <v>6179.52</v>
          </cell>
          <cell r="Z6">
            <v>6469.96</v>
          </cell>
          <cell r="AA6">
            <v>6753.68</v>
          </cell>
          <cell r="AB6">
            <v>7031.86</v>
          </cell>
          <cell r="AC6">
            <v>7301.56</v>
          </cell>
          <cell r="AD6">
            <v>7563.26</v>
          </cell>
          <cell r="AE6">
            <v>7825.81</v>
          </cell>
          <cell r="AF6">
            <v>8082.61</v>
          </cell>
          <cell r="AG6">
            <v>8334.18</v>
          </cell>
          <cell r="AH6">
            <v>8585.53</v>
          </cell>
          <cell r="AI6">
            <v>8836.5</v>
          </cell>
          <cell r="AJ6">
            <v>9081.55</v>
          </cell>
          <cell r="AK6">
            <v>9325.34</v>
          </cell>
          <cell r="AL6">
            <v>9565.4</v>
          </cell>
          <cell r="AM6">
            <v>9800.2</v>
          </cell>
          <cell r="AN6">
            <v>10028.07</v>
          </cell>
          <cell r="AO6">
            <v>10246.3</v>
          </cell>
          <cell r="AP6">
            <v>10453.68</v>
          </cell>
          <cell r="AQ6">
            <v>10643.43</v>
          </cell>
          <cell r="AR6">
            <v>10827.07</v>
          </cell>
          <cell r="AS6">
            <v>11008.61</v>
          </cell>
          <cell r="AT6">
            <v>11188.38</v>
          </cell>
          <cell r="AU6">
            <v>11370.07</v>
          </cell>
          <cell r="AV6">
            <v>11559.26</v>
          </cell>
          <cell r="AW6">
            <v>11752.81</v>
          </cell>
          <cell r="AX6">
            <v>11950.89</v>
          </cell>
          <cell r="AY6">
            <v>12157.47</v>
          </cell>
          <cell r="AZ6">
            <v>12376.03</v>
          </cell>
          <cell r="BA6">
            <v>12609.14</v>
          </cell>
          <cell r="BB6">
            <v>12854.46</v>
          </cell>
          <cell r="BC6">
            <v>13109.99</v>
          </cell>
          <cell r="BD6">
            <v>13370.99</v>
          </cell>
          <cell r="BE6">
            <v>13625.8</v>
          </cell>
          <cell r="BF6">
            <v>13879.84</v>
          </cell>
          <cell r="BG6">
            <v>14141.88</v>
          </cell>
          <cell r="BH6">
            <v>14403.24</v>
          </cell>
          <cell r="BI6">
            <v>14666.84</v>
          </cell>
          <cell r="BJ6">
            <v>14932.8</v>
          </cell>
          <cell r="BK6">
            <v>15200</v>
          </cell>
          <cell r="BL6">
            <v>15459.83</v>
          </cell>
          <cell r="BM6">
            <v>15711.47</v>
          </cell>
          <cell r="BN6">
            <v>15970.26</v>
          </cell>
          <cell r="BO6">
            <v>16231.4</v>
          </cell>
          <cell r="BP6">
            <v>16491.29</v>
          </cell>
          <cell r="BQ6">
            <v>16748.63</v>
          </cell>
          <cell r="BR6">
            <v>17003.3</v>
          </cell>
          <cell r="BS6">
            <v>17254.31</v>
          </cell>
          <cell r="BT6">
            <v>17499.01</v>
          </cell>
          <cell r="BU6">
            <v>17745.3</v>
          </cell>
          <cell r="BV6">
            <v>17991.76</v>
          </cell>
          <cell r="BW6">
            <v>18239.36</v>
          </cell>
          <cell r="BX6">
            <v>18486.87</v>
          </cell>
          <cell r="BY6">
            <v>18731.7</v>
          </cell>
          <cell r="BZ6">
            <v>18972.11</v>
          </cell>
          <cell r="CA6">
            <v>19208.57</v>
          </cell>
          <cell r="CB6">
            <v>19453.34</v>
          </cell>
          <cell r="CC6">
            <v>19697.63</v>
          </cell>
          <cell r="CD6">
            <v>19938.82</v>
          </cell>
          <cell r="CE6">
            <v>20180.84</v>
          </cell>
          <cell r="CF6">
            <v>20422.6</v>
          </cell>
          <cell r="CG6">
            <v>20661.86</v>
          </cell>
          <cell r="CH6">
            <v>20897.1</v>
          </cell>
          <cell r="CI6">
            <v>21138.83</v>
          </cell>
          <cell r="CJ6">
            <v>21381.23</v>
          </cell>
          <cell r="CK6">
            <v>21625.5</v>
          </cell>
          <cell r="CL6">
            <v>21867.86</v>
          </cell>
          <cell r="CM6">
            <v>22109.51</v>
          </cell>
          <cell r="CN6">
            <v>22348.11</v>
          </cell>
          <cell r="CO6">
            <v>22581.45</v>
          </cell>
          <cell r="CP6">
            <v>22818.7</v>
          </cell>
          <cell r="CQ6">
            <v>23058.14</v>
          </cell>
          <cell r="CR6">
            <v>23297.57</v>
          </cell>
          <cell r="CS6">
            <v>23515.11</v>
          </cell>
          <cell r="CT6">
            <v>23737.79</v>
          </cell>
          <cell r="CU6">
            <v>23969.35</v>
          </cell>
          <cell r="CV6">
            <v>24205.38</v>
          </cell>
          <cell r="CW6">
            <v>24443.04</v>
          </cell>
          <cell r="CX6">
            <v>24680.03</v>
          </cell>
          <cell r="CY6">
            <v>24917.18</v>
          </cell>
          <cell r="CZ6">
            <v>25155.29</v>
          </cell>
          <cell r="DA6">
            <v>25394.76</v>
          </cell>
          <cell r="DB6">
            <v>25633.12</v>
          </cell>
          <cell r="DC6">
            <v>25866.48</v>
          </cell>
          <cell r="DD6">
            <v>26106.99</v>
          </cell>
          <cell r="DE6">
            <v>26348.07</v>
          </cell>
          <cell r="DF6">
            <v>26590.3</v>
          </cell>
          <cell r="DG6">
            <v>26831.37</v>
          </cell>
          <cell r="DH6">
            <v>27070.85</v>
          </cell>
          <cell r="DI6">
            <v>27308.16</v>
          </cell>
          <cell r="DJ6">
            <v>27538.77</v>
          </cell>
          <cell r="DK6">
            <v>27775.27</v>
          </cell>
          <cell r="DL6">
            <v>28013.37</v>
          </cell>
          <cell r="DM6">
            <v>28252.25</v>
          </cell>
          <cell r="DN6">
            <v>28491.94</v>
          </cell>
          <cell r="DO6">
            <v>28733.97</v>
          </cell>
          <cell r="DP6">
            <v>28975.76</v>
          </cell>
          <cell r="DQ6">
            <v>29216.56</v>
          </cell>
          <cell r="DR6">
            <v>29458.05</v>
          </cell>
          <cell r="DS6">
            <v>29694.12</v>
          </cell>
          <cell r="DT6">
            <v>29902.22</v>
          </cell>
          <cell r="DU6">
            <v>30111.91</v>
          </cell>
          <cell r="DV6">
            <v>30331.96</v>
          </cell>
          <cell r="DW6">
            <v>30557.82</v>
          </cell>
          <cell r="DX6">
            <v>30788.04</v>
          </cell>
          <cell r="DY6">
            <v>31026.11</v>
          </cell>
          <cell r="DZ6">
            <v>31266.84</v>
          </cell>
          <cell r="EA6">
            <v>31508.34</v>
          </cell>
          <cell r="EB6">
            <v>31748.52</v>
          </cell>
          <cell r="EC6">
            <v>31989.93</v>
          </cell>
          <cell r="ED6">
            <v>32231.51</v>
          </cell>
          <cell r="EE6">
            <v>32466.34</v>
          </cell>
          <cell r="EF6">
            <v>32706.01</v>
          </cell>
          <cell r="EG6">
            <v>32948.5</v>
          </cell>
          <cell r="EH6">
            <v>33190.6</v>
          </cell>
          <cell r="EI6">
            <v>33433.27</v>
          </cell>
          <cell r="EJ6">
            <v>33681.47</v>
          </cell>
          <cell r="EK6">
            <v>33929.4</v>
          </cell>
          <cell r="EL6">
            <v>34169.82</v>
          </cell>
          <cell r="EM6">
            <v>34414.68</v>
          </cell>
          <cell r="EN6">
            <v>34662.17</v>
          </cell>
          <cell r="EO6">
            <v>34911.87</v>
          </cell>
          <cell r="EP6">
            <v>35165.5</v>
          </cell>
          <cell r="EQ6">
            <v>35420.76</v>
          </cell>
          <cell r="ER6">
            <v>35673.12</v>
          </cell>
          <cell r="ES6">
            <v>35920.58</v>
          </cell>
          <cell r="ET6">
            <v>36170.49</v>
          </cell>
          <cell r="EU6">
            <v>36418.71</v>
          </cell>
          <cell r="EV6">
            <v>36665.05</v>
          </cell>
          <cell r="EW6">
            <v>36911.26</v>
          </cell>
          <cell r="EX6">
            <v>37159.27</v>
          </cell>
          <cell r="EY6">
            <v>37400.96</v>
          </cell>
          <cell r="EZ6">
            <v>37639.85</v>
          </cell>
          <cell r="FA6">
            <v>37888.31</v>
          </cell>
          <cell r="FB6">
            <v>38137.44</v>
          </cell>
          <cell r="FC6">
            <v>38385.38</v>
          </cell>
          <cell r="FD6">
            <v>38634.28</v>
          </cell>
          <cell r="FE6">
            <v>38883.37</v>
          </cell>
          <cell r="FF6">
            <v>39131.31</v>
          </cell>
          <cell r="FG6">
            <v>39373.75</v>
          </cell>
          <cell r="FH6">
            <v>39605.97</v>
          </cell>
          <cell r="FI6">
            <v>39862.3</v>
          </cell>
          <cell r="FJ6">
            <v>40133.59</v>
          </cell>
          <cell r="FK6">
            <v>40413.15</v>
          </cell>
          <cell r="FL6">
            <v>40694.69</v>
          </cell>
          <cell r="FM6">
            <v>40973.46</v>
          </cell>
          <cell r="FN6">
            <v>41240</v>
          </cell>
          <cell r="FO6">
            <v>41512.63</v>
          </cell>
          <cell r="FP6">
            <v>41788.78</v>
          </cell>
          <cell r="FQ6">
            <v>42065.46</v>
          </cell>
          <cell r="FR6">
            <v>42346.1</v>
          </cell>
          <cell r="FS6">
            <v>42626.32</v>
          </cell>
          <cell r="FT6">
            <v>42905.04</v>
          </cell>
          <cell r="FU6">
            <v>43174.98</v>
          </cell>
          <cell r="FV6">
            <v>43449.06</v>
          </cell>
          <cell r="FW6">
            <v>43722.83</v>
          </cell>
          <cell r="FX6">
            <v>43996.53</v>
          </cell>
          <cell r="FY6">
            <v>44269.78</v>
          </cell>
          <cell r="FZ6">
            <v>44545.97</v>
          </cell>
          <cell r="GA6">
            <v>44819.88</v>
          </cell>
          <cell r="GB6">
            <v>45089.97</v>
          </cell>
          <cell r="GC6">
            <v>45362.95</v>
          </cell>
          <cell r="GD6">
            <v>45633.59</v>
          </cell>
          <cell r="GE6">
            <v>45909.31</v>
          </cell>
          <cell r="GF6">
            <v>46191.98</v>
          </cell>
          <cell r="GG6">
            <v>46482.5</v>
          </cell>
          <cell r="GH6">
            <v>46774.17</v>
          </cell>
          <cell r="GI6">
            <v>47063.8</v>
          </cell>
          <cell r="GJ6">
            <v>47362.06</v>
          </cell>
          <cell r="GK6">
            <v>47659.21</v>
          </cell>
          <cell r="GL6">
            <v>47954.3</v>
          </cell>
          <cell r="GM6">
            <v>48246.34</v>
          </cell>
          <cell r="GN6">
            <v>48539.86</v>
          </cell>
          <cell r="GO6">
            <v>48826.12</v>
          </cell>
          <cell r="GP6">
            <v>49104.54</v>
          </cell>
          <cell r="GQ6">
            <v>49395.51</v>
          </cell>
          <cell r="GR6">
            <v>49692.72</v>
          </cell>
          <cell r="GS6">
            <v>49991.5</v>
          </cell>
          <cell r="GT6">
            <v>50294.02</v>
          </cell>
          <cell r="GU6">
            <v>50601.02</v>
          </cell>
          <cell r="GV6">
            <v>50902.32</v>
          </cell>
          <cell r="GW6">
            <v>51206.35</v>
          </cell>
          <cell r="GX6">
            <v>51524.27</v>
          </cell>
          <cell r="GY6">
            <v>51848.91</v>
          </cell>
          <cell r="GZ6">
            <v>52174.19</v>
          </cell>
          <cell r="HA6">
            <v>52488.83</v>
          </cell>
          <cell r="HB6">
            <v>52798.7</v>
          </cell>
          <cell r="HC6">
            <v>53096.51</v>
          </cell>
          <cell r="HD6">
            <v>53383.54</v>
          </cell>
          <cell r="HE6">
            <v>53681.57</v>
          </cell>
          <cell r="HF6">
            <v>53981.97</v>
          </cell>
          <cell r="HG6">
            <v>54286.46</v>
          </cell>
          <cell r="HH6">
            <v>54595.4</v>
          </cell>
          <cell r="HI6">
            <v>54911.56</v>
          </cell>
          <cell r="HJ6">
            <v>55227.5</v>
          </cell>
          <cell r="HK6">
            <v>55534.91</v>
          </cell>
          <cell r="HL6">
            <v>55850.27</v>
          </cell>
          <cell r="HM6">
            <v>56166.99</v>
          </cell>
          <cell r="HN6">
            <v>56483.67</v>
          </cell>
          <cell r="HO6">
            <v>56802.24</v>
          </cell>
          <cell r="HP6">
            <v>57120.41</v>
          </cell>
          <cell r="HQ6">
            <v>57431.87</v>
          </cell>
          <cell r="HR6">
            <v>57734.05</v>
          </cell>
          <cell r="HS6">
            <v>58043.71</v>
          </cell>
          <cell r="HT6">
            <v>58351.25</v>
          </cell>
          <cell r="HU6">
            <v>58655.92</v>
          </cell>
          <cell r="HV6">
            <v>58958.16</v>
          </cell>
          <cell r="HW6">
            <v>59258.68</v>
          </cell>
          <cell r="HX6">
            <v>59555.57</v>
          </cell>
          <cell r="HY6">
            <v>59841.99</v>
          </cell>
          <cell r="HZ6">
            <v>60134.53</v>
          </cell>
          <cell r="IA6">
            <v>60430.34</v>
          </cell>
          <cell r="IB6">
            <v>60726.97</v>
          </cell>
          <cell r="IC6">
            <v>61031.87</v>
          </cell>
          <cell r="ID6">
            <v>61344.91</v>
          </cell>
          <cell r="IE6">
            <v>61656.93</v>
          </cell>
          <cell r="IF6">
            <v>61961.47</v>
          </cell>
          <cell r="IG6">
            <v>62268.08</v>
          </cell>
          <cell r="IH6">
            <v>62567</v>
          </cell>
          <cell r="II6">
            <v>62861.41</v>
          </cell>
          <cell r="IJ6">
            <v>63157.22</v>
          </cell>
          <cell r="IK6">
            <v>63458.7</v>
          </cell>
          <cell r="IL6">
            <v>63759.81</v>
          </cell>
          <cell r="IM6">
            <v>64057.13</v>
          </cell>
          <cell r="IN6">
            <v>64358.05</v>
          </cell>
          <cell r="IO6">
            <v>64654.38</v>
          </cell>
          <cell r="IP6">
            <v>64955.84</v>
          </cell>
          <cell r="IQ6">
            <v>65257.47</v>
          </cell>
          <cell r="IR6">
            <v>65550.12</v>
          </cell>
          <cell r="IS6">
            <v>65836.91</v>
          </cell>
          <cell r="IT6">
            <v>66121</v>
          </cell>
          <cell r="IU6">
            <v>66417.39</v>
          </cell>
          <cell r="IV6">
            <v>66709.39</v>
          </cell>
          <cell r="IW6">
            <v>66994.65</v>
          </cell>
          <cell r="IX6">
            <v>67279.06</v>
          </cell>
          <cell r="IY6">
            <v>67565.6</v>
          </cell>
          <cell r="IZ6">
            <v>67848.4</v>
          </cell>
          <cell r="JA6">
            <v>68118.77</v>
          </cell>
          <cell r="JB6">
            <v>68376.07</v>
          </cell>
          <cell r="JC6">
            <v>68621.76</v>
          </cell>
          <cell r="JD6">
            <v>68895.13</v>
          </cell>
          <cell r="JE6">
            <v>69179.61</v>
          </cell>
          <cell r="JF6">
            <v>69465.2</v>
          </cell>
          <cell r="JG6">
            <v>69731.54</v>
          </cell>
          <cell r="JH6">
            <v>69982.05</v>
          </cell>
          <cell r="JI6">
            <v>70231.97</v>
          </cell>
          <cell r="JJ6">
            <v>70484.14</v>
          </cell>
          <cell r="JK6">
            <v>70740.96</v>
          </cell>
          <cell r="JL6">
            <v>71001.83</v>
          </cell>
          <cell r="JM6">
            <v>71265.42</v>
          </cell>
          <cell r="JN6">
            <v>71529.03</v>
          </cell>
          <cell r="JO6">
            <v>71794.53</v>
          </cell>
          <cell r="JP6">
            <v>72049.38</v>
          </cell>
          <cell r="JQ6">
            <v>72268.06</v>
          </cell>
          <cell r="JR6">
            <v>72477.9</v>
          </cell>
          <cell r="JS6">
            <v>72692.26</v>
          </cell>
          <cell r="JT6">
            <v>72915.73</v>
          </cell>
          <cell r="JU6">
            <v>73147.69</v>
          </cell>
          <cell r="JV6">
            <v>73384.79</v>
          </cell>
          <cell r="JW6">
            <v>73627.16</v>
          </cell>
          <cell r="JX6">
            <v>73872.81</v>
          </cell>
          <cell r="JY6">
            <v>74117.64</v>
          </cell>
        </row>
        <row r="7">
          <cell r="C7">
            <v>0.0698</v>
          </cell>
          <cell r="D7">
            <v>0.0963</v>
          </cell>
          <cell r="E7">
            <v>0.1016</v>
          </cell>
          <cell r="F7">
            <v>0.1064</v>
          </cell>
          <cell r="G7">
            <v>0.1104</v>
          </cell>
          <cell r="H7">
            <v>0.1152</v>
          </cell>
          <cell r="I7">
            <v>0.1205</v>
          </cell>
          <cell r="J7">
            <v>0.1322</v>
          </cell>
          <cell r="K7">
            <v>0.1389</v>
          </cell>
          <cell r="L7">
            <v>0.1459</v>
          </cell>
          <cell r="M7">
            <v>0.1511</v>
          </cell>
          <cell r="N7">
            <v>0.1564</v>
          </cell>
          <cell r="O7">
            <v>0.1601</v>
          </cell>
          <cell r="P7">
            <v>0.1608</v>
          </cell>
          <cell r="Q7">
            <v>0.1631</v>
          </cell>
          <cell r="R7">
            <v>0.1658</v>
          </cell>
          <cell r="S7">
            <v>0.1693</v>
          </cell>
          <cell r="T7">
            <v>0.1752</v>
          </cell>
          <cell r="U7">
            <v>0.1839</v>
          </cell>
          <cell r="V7">
            <v>0.1926</v>
          </cell>
          <cell r="W7">
            <v>0.202</v>
          </cell>
          <cell r="X7">
            <v>0.2168</v>
          </cell>
          <cell r="Y7">
            <v>0.2305</v>
          </cell>
          <cell r="Z7">
            <v>0.241</v>
          </cell>
          <cell r="AA7">
            <v>0.2484</v>
          </cell>
          <cell r="AB7">
            <v>0.2538</v>
          </cell>
          <cell r="AC7">
            <v>0.2567</v>
          </cell>
          <cell r="AD7">
            <v>0.2567</v>
          </cell>
          <cell r="AE7">
            <v>0.2563</v>
          </cell>
          <cell r="AF7">
            <v>0.2548</v>
          </cell>
          <cell r="AG7">
            <v>0.2527</v>
          </cell>
          <cell r="AH7">
            <v>0.2493</v>
          </cell>
          <cell r="AI7">
            <v>0.2445</v>
          </cell>
          <cell r="AJ7">
            <v>0.2389</v>
          </cell>
          <cell r="AK7">
            <v>0.2338</v>
          </cell>
          <cell r="AL7">
            <v>0.2297</v>
          </cell>
          <cell r="AM7">
            <v>0.2236</v>
          </cell>
          <cell r="AN7">
            <v>0.2163</v>
          </cell>
          <cell r="AO7">
            <v>0.2076</v>
          </cell>
          <cell r="AP7">
            <v>0.1977</v>
          </cell>
          <cell r="AQ7">
            <v>0.1861</v>
          </cell>
          <cell r="AR7">
            <v>0.175</v>
          </cell>
          <cell r="AS7">
            <v>0.1648</v>
          </cell>
          <cell r="AT7">
            <v>0.1535</v>
          </cell>
          <cell r="AU7">
            <v>0.1427</v>
          </cell>
          <cell r="AV7">
            <v>0.1333</v>
          </cell>
          <cell r="AW7">
            <v>0.1248</v>
          </cell>
          <cell r="AX7">
            <v>0.1174</v>
          </cell>
          <cell r="AY7">
            <v>0.1116</v>
          </cell>
          <cell r="AZ7">
            <v>0.1078</v>
          </cell>
          <cell r="BA7">
            <v>0.1047</v>
          </cell>
          <cell r="BB7">
            <v>0.1022</v>
          </cell>
          <cell r="BC7">
            <v>0.1005</v>
          </cell>
          <cell r="BD7">
            <v>0.0993</v>
          </cell>
          <cell r="BE7">
            <v>0.0978</v>
          </cell>
          <cell r="BF7">
            <v>0.0967</v>
          </cell>
          <cell r="BG7">
            <v>0.0969</v>
          </cell>
          <cell r="BH7">
            <v>0.0967</v>
          </cell>
          <cell r="BI7">
            <v>0.0968</v>
          </cell>
          <cell r="BJ7">
            <v>0.1166</v>
          </cell>
          <cell r="BK7">
            <v>0.1169</v>
          </cell>
          <cell r="BL7">
            <v>0.1164</v>
          </cell>
          <cell r="BM7">
            <v>0.1153</v>
          </cell>
          <cell r="BN7">
            <v>0.1152</v>
          </cell>
          <cell r="BO7">
            <v>0.1158</v>
          </cell>
          <cell r="BP7">
            <v>0.1161</v>
          </cell>
          <cell r="BQ7">
            <v>0.1161</v>
          </cell>
          <cell r="BR7">
            <v>0.1159</v>
          </cell>
          <cell r="BS7">
            <v>0.1156</v>
          </cell>
          <cell r="BT7">
            <v>0.1149</v>
          </cell>
          <cell r="BU7">
            <v>0.1144</v>
          </cell>
          <cell r="BV7">
            <v>0.1142</v>
          </cell>
          <cell r="BW7">
            <v>0.1136</v>
          </cell>
          <cell r="BX7">
            <v>0.1131</v>
          </cell>
          <cell r="BY7">
            <v>0.1123</v>
          </cell>
          <cell r="BZ7">
            <v>0.111</v>
          </cell>
          <cell r="CA7">
            <v>0.1094</v>
          </cell>
          <cell r="CB7">
            <v>0.1084</v>
          </cell>
          <cell r="CC7">
            <v>0.1079</v>
          </cell>
          <cell r="CD7">
            <v>0.1069</v>
          </cell>
          <cell r="CE7">
            <v>0.1059</v>
          </cell>
          <cell r="CF7">
            <v>0.1049</v>
          </cell>
          <cell r="CG7">
            <v>0.1037</v>
          </cell>
          <cell r="CH7">
            <v>0.1023</v>
          </cell>
          <cell r="CI7">
            <v>0.1015</v>
          </cell>
          <cell r="CJ7">
            <v>0.1012</v>
          </cell>
          <cell r="CK7">
            <v>0.1008</v>
          </cell>
          <cell r="CL7">
            <v>0.1002</v>
          </cell>
          <cell r="CM7">
            <v>0.0997</v>
          </cell>
          <cell r="CN7">
            <v>0.0991</v>
          </cell>
          <cell r="CO7">
            <v>0.0984</v>
          </cell>
          <cell r="CP7">
            <v>0.0982</v>
          </cell>
          <cell r="CQ7">
            <v>0.0982</v>
          </cell>
          <cell r="CR7">
            <v>0.098</v>
          </cell>
          <cell r="CS7">
            <v>0.0969</v>
          </cell>
          <cell r="CT7">
            <v>0.0966</v>
          </cell>
          <cell r="CU7">
            <v>0.0962</v>
          </cell>
          <cell r="CV7">
            <v>0.0957</v>
          </cell>
          <cell r="CW7">
            <v>0.0955</v>
          </cell>
          <cell r="CX7">
            <v>0.0955</v>
          </cell>
          <cell r="CY7">
            <v>0.0953</v>
          </cell>
          <cell r="CZ7">
            <v>0.0949</v>
          </cell>
          <cell r="DA7">
            <v>0.0947</v>
          </cell>
          <cell r="DB7">
            <v>0.0943</v>
          </cell>
          <cell r="DC7">
            <v>0.0937</v>
          </cell>
          <cell r="DD7">
            <v>0.0937</v>
          </cell>
          <cell r="DE7">
            <v>0.0939</v>
          </cell>
          <cell r="DF7">
            <v>0.0937</v>
          </cell>
          <cell r="DG7">
            <v>0.0933</v>
          </cell>
          <cell r="DH7">
            <v>0.0929</v>
          </cell>
          <cell r="DI7">
            <v>0.0924</v>
          </cell>
          <cell r="DJ7">
            <v>0.0918</v>
          </cell>
          <cell r="DK7">
            <v>0.0915</v>
          </cell>
          <cell r="DL7">
            <v>0.0913</v>
          </cell>
          <cell r="DM7">
            <v>0.091</v>
          </cell>
          <cell r="DN7">
            <v>0.0908</v>
          </cell>
          <cell r="DO7">
            <v>0.0908</v>
          </cell>
          <cell r="DP7">
            <v>0.0907</v>
          </cell>
          <cell r="DQ7">
            <v>0.0906</v>
          </cell>
          <cell r="DR7">
            <v>0.0908</v>
          </cell>
          <cell r="DS7">
            <v>0.0913</v>
          </cell>
          <cell r="DT7">
            <v>0.0913</v>
          </cell>
          <cell r="DU7">
            <v>0.0911</v>
          </cell>
          <cell r="DV7">
            <v>0.0908</v>
          </cell>
          <cell r="DW7">
            <v>0.0902</v>
          </cell>
          <cell r="DX7">
            <v>0.0897</v>
          </cell>
          <cell r="DY7">
            <v>0.0894</v>
          </cell>
          <cell r="DZ7">
            <v>0.0895</v>
          </cell>
          <cell r="EA7">
            <v>0.0895</v>
          </cell>
          <cell r="EB7">
            <v>0.0894</v>
          </cell>
          <cell r="EC7">
            <v>0.0894</v>
          </cell>
          <cell r="ED7">
            <v>0.0894</v>
          </cell>
          <cell r="EE7">
            <v>0.0891</v>
          </cell>
          <cell r="EF7">
            <v>0.0891</v>
          </cell>
          <cell r="EG7">
            <v>0.0893</v>
          </cell>
          <cell r="EH7">
            <v>0.0892</v>
          </cell>
          <cell r="EI7">
            <v>0.0889</v>
          </cell>
          <cell r="EJ7">
            <v>0.0887</v>
          </cell>
          <cell r="EK7">
            <v>0.0885</v>
          </cell>
          <cell r="EL7">
            <v>0.088</v>
          </cell>
          <cell r="EM7">
            <v>0.0877</v>
          </cell>
          <cell r="EN7">
            <v>0.0878</v>
          </cell>
          <cell r="EO7">
            <v>0.0878</v>
          </cell>
          <cell r="EP7">
            <v>0.088</v>
          </cell>
          <cell r="EQ7">
            <v>0.0882</v>
          </cell>
          <cell r="ER7">
            <v>0.0883</v>
          </cell>
          <cell r="ES7">
            <v>0.0882</v>
          </cell>
          <cell r="ET7">
            <v>0.0881</v>
          </cell>
          <cell r="EU7">
            <v>0.088</v>
          </cell>
          <cell r="EV7">
            <v>0.0876</v>
          </cell>
          <cell r="EW7">
            <v>0.087</v>
          </cell>
          <cell r="EX7">
            <v>0.0864</v>
          </cell>
          <cell r="EY7">
            <v>0.0858</v>
          </cell>
          <cell r="EZ7">
            <v>0.085</v>
          </cell>
          <cell r="FA7">
            <v>0.0846</v>
          </cell>
          <cell r="FB7">
            <v>0.0845</v>
          </cell>
          <cell r="FC7">
            <v>0.0842</v>
          </cell>
          <cell r="FD7">
            <v>0.0839</v>
          </cell>
          <cell r="FE7">
            <v>0.0835</v>
          </cell>
          <cell r="FF7">
            <v>0.083</v>
          </cell>
          <cell r="FG7">
            <v>0.0823</v>
          </cell>
          <cell r="FH7">
            <v>0.0813</v>
          </cell>
          <cell r="FI7">
            <v>0.0811</v>
          </cell>
          <cell r="FJ7">
            <v>0.0811</v>
          </cell>
          <cell r="FK7">
            <v>0.0813</v>
          </cell>
          <cell r="FL7">
            <v>0.0815</v>
          </cell>
          <cell r="FM7">
            <v>0.0816</v>
          </cell>
          <cell r="FN7">
            <v>0.0814</v>
          </cell>
          <cell r="FO7">
            <v>0.0815</v>
          </cell>
          <cell r="FP7">
            <v>0.0819</v>
          </cell>
          <cell r="FQ7">
            <v>0.082</v>
          </cell>
          <cell r="FR7">
            <v>0.0821</v>
          </cell>
          <cell r="FS7">
            <v>0.0821</v>
          </cell>
          <cell r="FT7">
            <v>0.0827</v>
          </cell>
          <cell r="FU7">
            <v>0.0829</v>
          </cell>
          <cell r="FV7">
            <v>0.083</v>
          </cell>
          <cell r="FW7">
            <v>0.083</v>
          </cell>
          <cell r="FX7">
            <v>0.0829</v>
          </cell>
          <cell r="FY7">
            <v>0.0825</v>
          </cell>
          <cell r="FZ7">
            <v>0.0821</v>
          </cell>
          <cell r="GA7">
            <v>0.0816</v>
          </cell>
          <cell r="GB7">
            <v>0.0811</v>
          </cell>
          <cell r="GC7">
            <v>0.0807</v>
          </cell>
          <cell r="GD7">
            <v>0.0803</v>
          </cell>
          <cell r="GE7">
            <v>0.0799</v>
          </cell>
          <cell r="GF7">
            <v>0.0797</v>
          </cell>
          <cell r="GG7">
            <v>0.0796</v>
          </cell>
          <cell r="GH7">
            <v>0.0792</v>
          </cell>
          <cell r="GI7">
            <v>0.0788</v>
          </cell>
          <cell r="GJ7">
            <v>0.0785</v>
          </cell>
          <cell r="GK7">
            <v>0.0783</v>
          </cell>
          <cell r="GL7">
            <v>0.0778</v>
          </cell>
          <cell r="GM7">
            <v>0.077</v>
          </cell>
          <cell r="GN7">
            <v>0.0764</v>
          </cell>
          <cell r="GO7">
            <v>0.0758</v>
          </cell>
          <cell r="GP7">
            <v>0.0751</v>
          </cell>
          <cell r="GQ7">
            <v>0.0748</v>
          </cell>
          <cell r="GR7">
            <v>0.0749</v>
          </cell>
          <cell r="GS7">
            <v>0.0749</v>
          </cell>
          <cell r="GT7">
            <v>0.0749</v>
          </cell>
          <cell r="GU7">
            <v>0.075</v>
          </cell>
          <cell r="GV7">
            <v>0.0749</v>
          </cell>
          <cell r="GW7">
            <v>0.075</v>
          </cell>
          <cell r="GX7">
            <v>0.0755</v>
          </cell>
          <cell r="GY7">
            <v>0.0761</v>
          </cell>
          <cell r="GZ7">
            <v>0.0764</v>
          </cell>
          <cell r="HA7">
            <v>0.0764</v>
          </cell>
          <cell r="HB7">
            <v>0.0764</v>
          </cell>
          <cell r="HC7">
            <v>0.0762</v>
          </cell>
          <cell r="HD7">
            <v>0.0759</v>
          </cell>
          <cell r="HE7">
            <v>0.0761</v>
          </cell>
          <cell r="HF7">
            <v>0.0765</v>
          </cell>
          <cell r="HG7">
            <v>0.0767</v>
          </cell>
          <cell r="HH7">
            <v>0.077</v>
          </cell>
          <cell r="HI7">
            <v>0.0722</v>
          </cell>
          <cell r="HJ7">
            <v>0.0773</v>
          </cell>
          <cell r="HK7">
            <v>0.077</v>
          </cell>
          <cell r="HL7">
            <v>0.0769</v>
          </cell>
          <cell r="HM7">
            <v>0.0772</v>
          </cell>
          <cell r="HN7">
            <v>0.0773</v>
          </cell>
          <cell r="HO7">
            <v>0.0775</v>
          </cell>
          <cell r="HP7">
            <v>0.0775</v>
          </cell>
          <cell r="HQ7">
            <v>0.0774</v>
          </cell>
          <cell r="HR7">
            <v>0.0772</v>
          </cell>
          <cell r="HS7">
            <v>0.0772</v>
          </cell>
          <cell r="HT7">
            <v>0.0774</v>
          </cell>
          <cell r="HU7">
            <v>0.0772</v>
          </cell>
          <cell r="HV7">
            <v>0.077</v>
          </cell>
          <cell r="HW7">
            <v>0.0767</v>
          </cell>
          <cell r="HX7">
            <v>0.0763</v>
          </cell>
          <cell r="HY7">
            <v>0.0757</v>
          </cell>
          <cell r="HZ7">
            <v>0.0754</v>
          </cell>
          <cell r="IA7">
            <v>0.0754</v>
          </cell>
          <cell r="IB7">
            <v>0.0753</v>
          </cell>
          <cell r="IC7">
            <v>0.0753</v>
          </cell>
          <cell r="ID7">
            <v>0.0755</v>
          </cell>
          <cell r="IE7">
            <v>0.0759</v>
          </cell>
          <cell r="IF7">
            <v>0.076</v>
          </cell>
          <cell r="IG7">
            <v>0.0764</v>
          </cell>
          <cell r="IH7">
            <v>0.0769</v>
          </cell>
          <cell r="II7">
            <v>0.0773</v>
          </cell>
          <cell r="IJ7">
            <v>0.0777</v>
          </cell>
          <cell r="IK7">
            <v>0.0783</v>
          </cell>
          <cell r="IL7">
            <v>0.0789</v>
          </cell>
          <cell r="IM7">
            <v>0.0794</v>
          </cell>
          <cell r="IN7">
            <v>0.08</v>
          </cell>
          <cell r="IO7">
            <v>0.0805</v>
          </cell>
          <cell r="IP7">
            <v>0.0808</v>
          </cell>
          <cell r="IQ7">
            <v>0.081</v>
          </cell>
          <cell r="IR7">
            <v>0.081</v>
          </cell>
          <cell r="IS7">
            <v>0.0809</v>
          </cell>
          <cell r="IT7">
            <v>0.0808</v>
          </cell>
          <cell r="IU7">
            <v>0.081</v>
          </cell>
          <cell r="IV7">
            <v>0.0813</v>
          </cell>
          <cell r="IW7">
            <v>0.0813</v>
          </cell>
          <cell r="IX7">
            <v>0.0814</v>
          </cell>
          <cell r="IY7">
            <v>0.0816</v>
          </cell>
          <cell r="IZ7">
            <v>0.0818</v>
          </cell>
          <cell r="JA7">
            <v>0.0817</v>
          </cell>
          <cell r="JB7">
            <v>0.0815</v>
          </cell>
          <cell r="JC7">
            <v>0.0811</v>
          </cell>
          <cell r="JD7">
            <v>0.0809</v>
          </cell>
          <cell r="JE7">
            <v>0.0809</v>
          </cell>
          <cell r="JF7">
            <v>0.0809</v>
          </cell>
          <cell r="JG7">
            <v>0.0808</v>
          </cell>
          <cell r="JH7">
            <v>0.0805</v>
          </cell>
          <cell r="JI7">
            <v>0.0803</v>
          </cell>
          <cell r="JJ7">
            <v>0.0801</v>
          </cell>
          <cell r="JK7">
            <v>0.0799</v>
          </cell>
          <cell r="JL7">
            <v>0.0797</v>
          </cell>
          <cell r="JM7">
            <v>0.0796</v>
          </cell>
          <cell r="JN7">
            <v>0.0796</v>
          </cell>
          <cell r="JO7">
            <v>0.08</v>
          </cell>
          <cell r="JP7">
            <v>0.0804</v>
          </cell>
          <cell r="JQ7">
            <v>0.0803</v>
          </cell>
          <cell r="JR7">
            <v>0.08</v>
          </cell>
          <cell r="JS7">
            <v>0.0797</v>
          </cell>
          <cell r="JT7">
            <v>0.0793</v>
          </cell>
          <cell r="JU7">
            <v>0.079</v>
          </cell>
          <cell r="JV7">
            <v>0.0788</v>
          </cell>
          <cell r="JW7">
            <v>0.0787</v>
          </cell>
          <cell r="JX7">
            <v>0.0786</v>
          </cell>
          <cell r="JY7">
            <v>0.0785</v>
          </cell>
        </row>
        <row r="11">
          <cell r="C11">
            <v>10.77</v>
          </cell>
          <cell r="D11">
            <v>11.87</v>
          </cell>
          <cell r="E11">
            <v>12.01</v>
          </cell>
          <cell r="F11">
            <v>11.97</v>
          </cell>
          <cell r="G11">
            <v>11.86</v>
          </cell>
          <cell r="H11">
            <v>11.61</v>
          </cell>
          <cell r="I11">
            <v>11.62</v>
          </cell>
          <cell r="J11">
            <v>12.18</v>
          </cell>
          <cell r="K11">
            <v>11.98</v>
          </cell>
          <cell r="L11">
            <v>12.01</v>
          </cell>
          <cell r="M11">
            <v>11.93</v>
          </cell>
          <cell r="N11">
            <v>11.81</v>
          </cell>
          <cell r="O11">
            <v>11.44</v>
          </cell>
          <cell r="P11">
            <v>11.2</v>
          </cell>
          <cell r="Q11">
            <v>11.86</v>
          </cell>
          <cell r="R11">
            <v>12</v>
          </cell>
          <cell r="S11">
            <v>11.96</v>
          </cell>
          <cell r="T11">
            <v>12.06</v>
          </cell>
          <cell r="U11">
            <v>12.17</v>
          </cell>
          <cell r="V11">
            <v>12.07</v>
          </cell>
          <cell r="W11">
            <v>12.14</v>
          </cell>
          <cell r="X11">
            <v>13.06</v>
          </cell>
          <cell r="Y11">
            <v>13.15</v>
          </cell>
          <cell r="Z11">
            <v>12.95</v>
          </cell>
          <cell r="AA11">
            <v>12.58</v>
          </cell>
          <cell r="AB11">
            <v>12.28</v>
          </cell>
          <cell r="AC11">
            <v>11.96</v>
          </cell>
          <cell r="AD11">
            <v>11.59</v>
          </cell>
          <cell r="AE11">
            <v>11.7</v>
          </cell>
          <cell r="AF11">
            <v>11.42</v>
          </cell>
          <cell r="AG11">
            <v>11.14</v>
          </cell>
          <cell r="AH11">
            <v>11.26</v>
          </cell>
          <cell r="AI11">
            <v>11.17</v>
          </cell>
          <cell r="AJ11">
            <v>11.04</v>
          </cell>
          <cell r="AK11">
            <v>11.01</v>
          </cell>
          <cell r="AL11">
            <v>10.86</v>
          </cell>
          <cell r="AM11">
            <v>10.62</v>
          </cell>
          <cell r="AN11">
            <v>10.34</v>
          </cell>
          <cell r="AO11">
            <v>10.05</v>
          </cell>
          <cell r="AP11">
            <v>9.45</v>
          </cell>
          <cell r="AQ11">
            <v>8.62</v>
          </cell>
          <cell r="AR11">
            <v>8.37</v>
          </cell>
          <cell r="AS11">
            <v>8.2</v>
          </cell>
          <cell r="AT11">
            <v>8.13</v>
          </cell>
          <cell r="AU11">
            <v>8.21</v>
          </cell>
          <cell r="AV11">
            <v>8.65</v>
          </cell>
          <cell r="AW11">
            <v>8.74</v>
          </cell>
          <cell r="AX11">
            <v>8.89</v>
          </cell>
          <cell r="AY11">
            <v>9.25</v>
          </cell>
          <cell r="AZ11">
            <v>9.83</v>
          </cell>
          <cell r="BA11">
            <v>10.49</v>
          </cell>
          <cell r="BB11">
            <v>11.07</v>
          </cell>
          <cell r="BC11">
            <v>11.53</v>
          </cell>
          <cell r="BD11">
            <v>11.74</v>
          </cell>
          <cell r="BE11">
            <v>11.37</v>
          </cell>
          <cell r="BF11">
            <v>11.51</v>
          </cell>
          <cell r="BG11">
            <v>11.76</v>
          </cell>
          <cell r="BH11">
            <v>11.62</v>
          </cell>
          <cell r="BI11">
            <v>11.86</v>
          </cell>
          <cell r="BJ11">
            <v>11.89</v>
          </cell>
          <cell r="BK11">
            <v>11.85</v>
          </cell>
          <cell r="BL11">
            <v>11.37</v>
          </cell>
          <cell r="BM11">
            <v>11.09</v>
          </cell>
          <cell r="BN11">
            <v>11.62</v>
          </cell>
          <cell r="BO11">
            <v>11.65</v>
          </cell>
          <cell r="BP11">
            <v>11.54</v>
          </cell>
          <cell r="BQ11">
            <v>11.34</v>
          </cell>
          <cell r="BR11">
            <v>11.15</v>
          </cell>
          <cell r="BS11">
            <v>10.95</v>
          </cell>
          <cell r="BT11">
            <v>10.67</v>
          </cell>
          <cell r="BU11">
            <v>10.95</v>
          </cell>
          <cell r="BV11">
            <v>10.76</v>
          </cell>
          <cell r="BW11">
            <v>10.83</v>
          </cell>
          <cell r="BX11">
            <v>10.89</v>
          </cell>
          <cell r="BY11">
            <v>10.72</v>
          </cell>
          <cell r="BZ11">
            <v>10.46</v>
          </cell>
          <cell r="CA11">
            <v>10.28</v>
          </cell>
          <cell r="CB11">
            <v>10.9</v>
          </cell>
          <cell r="CC11">
            <v>10.69</v>
          </cell>
          <cell r="CD11">
            <v>10.56</v>
          </cell>
          <cell r="CE11">
            <v>10.51</v>
          </cell>
          <cell r="CF11">
            <v>10.53</v>
          </cell>
          <cell r="CG11">
            <v>10.44</v>
          </cell>
          <cell r="CH11">
            <v>10.17</v>
          </cell>
          <cell r="CI11">
            <v>10.68</v>
          </cell>
          <cell r="CJ11">
            <v>10.57</v>
          </cell>
          <cell r="CK11">
            <v>10.67</v>
          </cell>
          <cell r="CL11">
            <v>10.59</v>
          </cell>
          <cell r="CM11">
            <v>10.45</v>
          </cell>
          <cell r="CN11">
            <v>10.3</v>
          </cell>
          <cell r="CO11">
            <v>10.04</v>
          </cell>
          <cell r="CP11">
            <v>10.44</v>
          </cell>
          <cell r="CQ11">
            <v>10.54</v>
          </cell>
          <cell r="CR11">
            <v>10.5</v>
          </cell>
          <cell r="CS11">
            <v>9.3</v>
          </cell>
          <cell r="CT11">
            <v>9.76</v>
          </cell>
          <cell r="CU11">
            <v>10.11</v>
          </cell>
          <cell r="CV11">
            <v>10.41</v>
          </cell>
          <cell r="CW11">
            <v>10.46</v>
          </cell>
          <cell r="CX11">
            <v>10.29</v>
          </cell>
          <cell r="CY11">
            <v>10.33</v>
          </cell>
          <cell r="CZ11">
            <v>10.3</v>
          </cell>
          <cell r="DA11">
            <v>10.45</v>
          </cell>
          <cell r="DB11">
            <v>10.31</v>
          </cell>
          <cell r="DC11">
            <v>10.05</v>
          </cell>
          <cell r="DD11">
            <v>10.49</v>
          </cell>
          <cell r="DE11">
            <v>10.47</v>
          </cell>
          <cell r="DF11">
            <v>10.62</v>
          </cell>
          <cell r="DG11">
            <v>10.47</v>
          </cell>
          <cell r="DH11">
            <v>10.53</v>
          </cell>
          <cell r="DI11">
            <v>10.35</v>
          </cell>
          <cell r="DJ11">
            <v>9.97</v>
          </cell>
          <cell r="DK11">
            <v>10.43</v>
          </cell>
          <cell r="DL11">
            <v>10.38</v>
          </cell>
          <cell r="DM11">
            <v>10.37</v>
          </cell>
          <cell r="DN11">
            <v>10.49</v>
          </cell>
          <cell r="DO11">
            <v>10.5</v>
          </cell>
          <cell r="DP11">
            <v>10.54</v>
          </cell>
          <cell r="DQ11">
            <v>10.5</v>
          </cell>
          <cell r="DR11">
            <v>10.6</v>
          </cell>
          <cell r="DS11">
            <v>10.45</v>
          </cell>
          <cell r="DT11">
            <v>8.81</v>
          </cell>
          <cell r="DU11">
            <v>9.14</v>
          </cell>
          <cell r="DV11">
            <v>9.6</v>
          </cell>
          <cell r="DW11">
            <v>9.98</v>
          </cell>
          <cell r="DX11">
            <v>10.05</v>
          </cell>
          <cell r="DY11">
            <v>10.44</v>
          </cell>
          <cell r="DZ11">
            <v>10.5</v>
          </cell>
          <cell r="EA11">
            <v>10.55</v>
          </cell>
          <cell r="EB11">
            <v>10.54</v>
          </cell>
          <cell r="EC11">
            <v>10.52</v>
          </cell>
          <cell r="ED11">
            <v>10.55</v>
          </cell>
          <cell r="EE11">
            <v>10.13</v>
          </cell>
          <cell r="EF11">
            <v>10.49</v>
          </cell>
          <cell r="EG11">
            <v>10.54</v>
          </cell>
          <cell r="EH11">
            <v>10.58</v>
          </cell>
          <cell r="EI11">
            <v>10.62</v>
          </cell>
          <cell r="EJ11">
            <v>10.85</v>
          </cell>
          <cell r="EK11">
            <v>10.83</v>
          </cell>
          <cell r="EL11">
            <v>10.45</v>
          </cell>
          <cell r="EM11">
            <v>10.84</v>
          </cell>
          <cell r="EN11">
            <v>10.84</v>
          </cell>
          <cell r="EO11">
            <v>10.9</v>
          </cell>
          <cell r="EP11">
            <v>11.15</v>
          </cell>
          <cell r="EQ11">
            <v>11.24</v>
          </cell>
          <cell r="ER11">
            <v>11.02</v>
          </cell>
          <cell r="ES11">
            <v>10.65</v>
          </cell>
          <cell r="ET11">
            <v>11.03</v>
          </cell>
          <cell r="EU11">
            <v>10.86</v>
          </cell>
          <cell r="EV11">
            <v>10.79</v>
          </cell>
          <cell r="EW11">
            <v>10.84</v>
          </cell>
          <cell r="EX11">
            <v>10.86</v>
          </cell>
          <cell r="EY11">
            <v>10.53</v>
          </cell>
          <cell r="EZ11">
            <v>10.27</v>
          </cell>
          <cell r="FA11">
            <v>10.97</v>
          </cell>
          <cell r="FB11">
            <v>10.98</v>
          </cell>
          <cell r="FC11">
            <v>10.9</v>
          </cell>
          <cell r="FD11">
            <v>10.92</v>
          </cell>
          <cell r="FE11">
            <v>10.93</v>
          </cell>
          <cell r="FF11">
            <v>10.8</v>
          </cell>
          <cell r="FG11">
            <v>10.5</v>
          </cell>
          <cell r="FH11">
            <v>10.07</v>
          </cell>
          <cell r="FI11">
            <v>11.51</v>
          </cell>
          <cell r="FJ11">
            <v>11.93</v>
          </cell>
          <cell r="FK11">
            <v>12.27</v>
          </cell>
          <cell r="FL11">
            <v>12.37</v>
          </cell>
          <cell r="FM11">
            <v>12.16</v>
          </cell>
          <cell r="FN11">
            <v>11.53</v>
          </cell>
          <cell r="FO11">
            <v>11.99</v>
          </cell>
          <cell r="FP11">
            <v>12.16</v>
          </cell>
          <cell r="FQ11">
            <v>12.13</v>
          </cell>
          <cell r="FR11">
            <v>12.29</v>
          </cell>
          <cell r="FS11">
            <v>12.31</v>
          </cell>
          <cell r="FT11">
            <v>12.14</v>
          </cell>
          <cell r="FU11">
            <v>11.64</v>
          </cell>
          <cell r="FV11">
            <v>12.11</v>
          </cell>
          <cell r="FW11">
            <v>12</v>
          </cell>
          <cell r="FX11">
            <v>12.06</v>
          </cell>
          <cell r="FY11">
            <v>11.99</v>
          </cell>
          <cell r="FZ11">
            <v>12.17</v>
          </cell>
          <cell r="GA11">
            <v>11.95</v>
          </cell>
          <cell r="GB11">
            <v>11.69</v>
          </cell>
          <cell r="GC11">
            <v>12.17</v>
          </cell>
          <cell r="GD11">
            <v>12.01</v>
          </cell>
          <cell r="GE11">
            <v>12.12</v>
          </cell>
          <cell r="GF11">
            <v>12.44</v>
          </cell>
          <cell r="GG11">
            <v>12.86</v>
          </cell>
          <cell r="GH11">
            <v>12.7</v>
          </cell>
          <cell r="GI11">
            <v>12.5</v>
          </cell>
          <cell r="GJ11">
            <v>13.22</v>
          </cell>
          <cell r="GK11">
            <v>13.01</v>
          </cell>
          <cell r="GL11">
            <v>12.94</v>
          </cell>
          <cell r="GM11">
            <v>12.84</v>
          </cell>
          <cell r="GN11">
            <v>12.92</v>
          </cell>
          <cell r="GO11">
            <v>12.4</v>
          </cell>
          <cell r="GP11">
            <v>11.97</v>
          </cell>
          <cell r="GQ11">
            <v>12.9</v>
          </cell>
          <cell r="GR11">
            <v>13.07</v>
          </cell>
          <cell r="GS11">
            <v>13.18</v>
          </cell>
          <cell r="GT11">
            <v>13.4</v>
          </cell>
          <cell r="GU11">
            <v>13.68</v>
          </cell>
          <cell r="GV11">
            <v>13.13</v>
          </cell>
          <cell r="GW11">
            <v>13.39</v>
          </cell>
          <cell r="GX11">
            <v>14.19</v>
          </cell>
          <cell r="GY11">
            <v>14.37</v>
          </cell>
          <cell r="GZ11">
            <v>14.51</v>
          </cell>
          <cell r="HA11">
            <v>13.79</v>
          </cell>
          <cell r="HB11">
            <v>13.58</v>
          </cell>
          <cell r="HC11">
            <v>13.05</v>
          </cell>
          <cell r="HD11">
            <v>12.44</v>
          </cell>
          <cell r="HE11">
            <v>13.38</v>
          </cell>
          <cell r="HF11">
            <v>13.41</v>
          </cell>
          <cell r="HG11">
            <v>13.52</v>
          </cell>
          <cell r="HH11">
            <v>13.74</v>
          </cell>
          <cell r="HI11">
            <v>14.1</v>
          </cell>
          <cell r="HJ11">
            <v>14</v>
          </cell>
          <cell r="HK11">
            <v>13.47</v>
          </cell>
          <cell r="HL11">
            <v>14.11</v>
          </cell>
          <cell r="HM11">
            <v>14.18</v>
          </cell>
          <cell r="HN11">
            <v>14.15</v>
          </cell>
          <cell r="HO11">
            <v>14.16</v>
          </cell>
          <cell r="HP11">
            <v>14.13</v>
          </cell>
          <cell r="HQ11">
            <v>13.73</v>
          </cell>
          <cell r="HR11">
            <v>13.21</v>
          </cell>
          <cell r="HS11">
            <v>13.91</v>
          </cell>
          <cell r="HT11">
            <v>13.77</v>
          </cell>
          <cell r="HU11">
            <v>13.57</v>
          </cell>
          <cell r="HV11">
            <v>13.53</v>
          </cell>
          <cell r="HW11">
            <v>13.51</v>
          </cell>
          <cell r="HX11">
            <v>13.12</v>
          </cell>
          <cell r="HY11">
            <v>12.48</v>
          </cell>
          <cell r="HZ11">
            <v>13.2</v>
          </cell>
          <cell r="IA11">
            <v>13.1</v>
          </cell>
          <cell r="IB11">
            <v>13.2</v>
          </cell>
          <cell r="IC11">
            <v>13.57</v>
          </cell>
          <cell r="ID11">
            <v>14.02</v>
          </cell>
          <cell r="IE11">
            <v>13.83</v>
          </cell>
          <cell r="IF11">
            <v>13.31</v>
          </cell>
          <cell r="IG11">
            <v>13.67</v>
          </cell>
          <cell r="IH11">
            <v>13.09</v>
          </cell>
          <cell r="II11">
            <v>12.91</v>
          </cell>
          <cell r="IJ11">
            <v>13.06</v>
          </cell>
          <cell r="IK11">
            <v>13.39</v>
          </cell>
          <cell r="IL11">
            <v>13.3</v>
          </cell>
          <cell r="IM11">
            <v>13.14</v>
          </cell>
          <cell r="IN11">
            <v>13.39</v>
          </cell>
          <cell r="IO11">
            <v>12.93</v>
          </cell>
          <cell r="IP11">
            <v>13.28</v>
          </cell>
          <cell r="IQ11">
            <v>13.25</v>
          </cell>
          <cell r="IR11">
            <v>12.91</v>
          </cell>
          <cell r="IS11">
            <v>12.62</v>
          </cell>
          <cell r="IT11">
            <v>12.41</v>
          </cell>
          <cell r="IU11">
            <v>13.22</v>
          </cell>
          <cell r="IV11">
            <v>12.93</v>
          </cell>
          <cell r="IW11">
            <v>12.52</v>
          </cell>
          <cell r="IX11">
            <v>12.47</v>
          </cell>
          <cell r="IY11">
            <v>12.54</v>
          </cell>
          <cell r="IZ11">
            <v>12.46</v>
          </cell>
          <cell r="JA11">
            <v>11.68</v>
          </cell>
          <cell r="JB11">
            <v>11.03</v>
          </cell>
          <cell r="JC11">
            <v>10.62</v>
          </cell>
          <cell r="JD11">
            <v>12.26</v>
          </cell>
          <cell r="JE11">
            <v>12.56</v>
          </cell>
          <cell r="JF11">
            <v>12.65</v>
          </cell>
          <cell r="JG11">
            <v>11.58</v>
          </cell>
          <cell r="JH11">
            <v>10.78</v>
          </cell>
          <cell r="JI11">
            <v>10.96</v>
          </cell>
          <cell r="JJ11">
            <v>10.97</v>
          </cell>
          <cell r="JK11">
            <v>11.22</v>
          </cell>
          <cell r="JL11">
            <v>11.42</v>
          </cell>
          <cell r="JM11">
            <v>11.5</v>
          </cell>
          <cell r="JN11">
            <v>11.43</v>
          </cell>
          <cell r="JO11">
            <v>11.61</v>
          </cell>
          <cell r="JP11">
            <v>11.25</v>
          </cell>
          <cell r="JQ11">
            <v>9.38</v>
          </cell>
          <cell r="JR11">
            <v>9.13</v>
          </cell>
          <cell r="JS11">
            <v>9.33</v>
          </cell>
          <cell r="JT11">
            <v>9.75</v>
          </cell>
          <cell r="JU11">
            <v>10.05</v>
          </cell>
          <cell r="JV11">
            <v>10.26</v>
          </cell>
          <cell r="JW11">
            <v>10.52</v>
          </cell>
          <cell r="JX11">
            <v>10.64</v>
          </cell>
          <cell r="JY11">
            <v>10.57</v>
          </cell>
        </row>
        <row r="14">
          <cell r="C14">
            <v>8.54</v>
          </cell>
          <cell r="D14">
            <v>8.4</v>
          </cell>
          <cell r="E14">
            <v>9.09</v>
          </cell>
          <cell r="F14">
            <v>9.2</v>
          </cell>
          <cell r="G14">
            <v>9.17</v>
          </cell>
          <cell r="H14">
            <v>9.15</v>
          </cell>
          <cell r="I14">
            <v>9.11</v>
          </cell>
          <cell r="J14">
            <v>9.03</v>
          </cell>
          <cell r="K14">
            <v>9.2</v>
          </cell>
          <cell r="L14">
            <v>9.2</v>
          </cell>
          <cell r="M14">
            <v>9.2</v>
          </cell>
          <cell r="N14">
            <v>9.13</v>
          </cell>
          <cell r="O14">
            <v>9.06</v>
          </cell>
          <cell r="P14">
            <v>8.86</v>
          </cell>
          <cell r="Q14">
            <v>8.86</v>
          </cell>
          <cell r="R14">
            <v>9.13</v>
          </cell>
          <cell r="S14">
            <v>9.11</v>
          </cell>
          <cell r="T14">
            <v>9.08</v>
          </cell>
          <cell r="U14">
            <v>9.14</v>
          </cell>
          <cell r="V14">
            <v>9.18</v>
          </cell>
          <cell r="W14">
            <v>9.18</v>
          </cell>
          <cell r="X14">
            <v>9.29</v>
          </cell>
          <cell r="Y14">
            <v>9.67</v>
          </cell>
          <cell r="Z14">
            <v>9.68</v>
          </cell>
          <cell r="AA14">
            <v>9.53</v>
          </cell>
          <cell r="AB14">
            <v>9.33</v>
          </cell>
          <cell r="AC14">
            <v>9.15</v>
          </cell>
          <cell r="AD14">
            <v>9.01</v>
          </cell>
          <cell r="AE14">
            <v>8.74</v>
          </cell>
          <cell r="AF14">
            <v>8.64</v>
          </cell>
          <cell r="AG14">
            <v>8.41</v>
          </cell>
          <cell r="AH14">
            <v>8.27</v>
          </cell>
          <cell r="AI14">
            <v>8.3</v>
          </cell>
          <cell r="AJ14">
            <v>8.18</v>
          </cell>
          <cell r="AK14">
            <v>8.04</v>
          </cell>
          <cell r="AL14">
            <v>7.96</v>
          </cell>
          <cell r="AM14">
            <v>7.81</v>
          </cell>
          <cell r="AN14">
            <v>7.6</v>
          </cell>
          <cell r="AO14">
            <v>7.35</v>
          </cell>
          <cell r="AP14">
            <v>7.02</v>
          </cell>
          <cell r="AQ14">
            <v>6.78</v>
          </cell>
          <cell r="AR14">
            <v>6.48</v>
          </cell>
          <cell r="AS14">
            <v>6.36</v>
          </cell>
          <cell r="AT14">
            <v>6.25</v>
          </cell>
          <cell r="AU14">
            <v>6.24</v>
          </cell>
          <cell r="AV14">
            <v>6.36</v>
          </cell>
          <cell r="AW14">
            <v>6.62</v>
          </cell>
          <cell r="AX14">
            <v>6.7</v>
          </cell>
          <cell r="AY14">
            <v>6.84</v>
          </cell>
          <cell r="AZ14">
            <v>7.1</v>
          </cell>
          <cell r="BA14">
            <v>7.56</v>
          </cell>
          <cell r="BB14">
            <v>7.96</v>
          </cell>
          <cell r="BC14">
            <v>8.27</v>
          </cell>
          <cell r="BD14">
            <v>8.49</v>
          </cell>
          <cell r="BE14">
            <v>8.53</v>
          </cell>
          <cell r="BF14">
            <v>8.43</v>
          </cell>
          <cell r="BG14">
            <v>8.49</v>
          </cell>
          <cell r="BH14">
            <v>8.69</v>
          </cell>
          <cell r="BI14">
            <v>8.67</v>
          </cell>
          <cell r="BJ14">
            <v>8.73</v>
          </cell>
          <cell r="BK14">
            <v>8.84</v>
          </cell>
          <cell r="BL14">
            <v>8.89</v>
          </cell>
          <cell r="BM14">
            <v>8.74</v>
          </cell>
          <cell r="BN14">
            <v>8.52</v>
          </cell>
          <cell r="BO14">
            <v>8.74</v>
          </cell>
          <cell r="BP14">
            <v>8.79</v>
          </cell>
          <cell r="BQ14">
            <v>8.84</v>
          </cell>
          <cell r="BR14">
            <v>8.79</v>
          </cell>
          <cell r="BS14">
            <v>8.72</v>
          </cell>
          <cell r="BT14">
            <v>8.58</v>
          </cell>
          <cell r="BU14">
            <v>8.37</v>
          </cell>
          <cell r="BV14">
            <v>8.53</v>
          </cell>
          <cell r="BW14">
            <v>8.54</v>
          </cell>
          <cell r="BX14">
            <v>8.5</v>
          </cell>
          <cell r="BY14">
            <v>8.46</v>
          </cell>
          <cell r="BZ14">
            <v>8.37</v>
          </cell>
          <cell r="CA14">
            <v>8.27</v>
          </cell>
          <cell r="CB14">
            <v>8.24</v>
          </cell>
          <cell r="CC14">
            <v>8.48</v>
          </cell>
          <cell r="CD14">
            <v>8.46</v>
          </cell>
          <cell r="CE14">
            <v>8.42</v>
          </cell>
          <cell r="CF14">
            <v>8.35</v>
          </cell>
          <cell r="CG14">
            <v>8.35</v>
          </cell>
          <cell r="CH14">
            <v>8.29</v>
          </cell>
          <cell r="CI14">
            <v>8.22</v>
          </cell>
          <cell r="CJ14">
            <v>8.44</v>
          </cell>
          <cell r="CK14">
            <v>8.41</v>
          </cell>
          <cell r="CL14">
            <v>8.4</v>
          </cell>
          <cell r="CM14">
            <v>8.39</v>
          </cell>
          <cell r="CN14">
            <v>8.36</v>
          </cell>
          <cell r="CO14">
            <v>8.23</v>
          </cell>
          <cell r="CP14">
            <v>8.11</v>
          </cell>
          <cell r="CQ14">
            <v>8.33</v>
          </cell>
          <cell r="CR14">
            <v>8.36</v>
          </cell>
          <cell r="CS14">
            <v>8.07</v>
          </cell>
          <cell r="CT14">
            <v>7.64</v>
          </cell>
          <cell r="CU14">
            <v>7.97</v>
          </cell>
          <cell r="CV14">
            <v>8.12</v>
          </cell>
          <cell r="CW14">
            <v>8.19</v>
          </cell>
          <cell r="CX14">
            <v>8.24</v>
          </cell>
          <cell r="CY14">
            <v>8.24</v>
          </cell>
          <cell r="CZ14">
            <v>8.24</v>
          </cell>
          <cell r="DA14">
            <v>8.28</v>
          </cell>
          <cell r="DB14">
            <v>8.31</v>
          </cell>
          <cell r="DC14">
            <v>8.29</v>
          </cell>
          <cell r="DD14">
            <v>8.18</v>
          </cell>
          <cell r="DE14">
            <v>8.4</v>
          </cell>
          <cell r="DF14">
            <v>8.42</v>
          </cell>
          <cell r="DG14">
            <v>8.43</v>
          </cell>
          <cell r="DH14">
            <v>8.35</v>
          </cell>
          <cell r="DI14">
            <v>8.37</v>
          </cell>
          <cell r="DJ14">
            <v>8.2</v>
          </cell>
          <cell r="DK14">
            <v>8.07</v>
          </cell>
          <cell r="DL14">
            <v>8.28</v>
          </cell>
          <cell r="DM14">
            <v>8.29</v>
          </cell>
          <cell r="DN14">
            <v>8.3</v>
          </cell>
          <cell r="DO14">
            <v>8.36</v>
          </cell>
          <cell r="DP14">
            <v>8.44</v>
          </cell>
          <cell r="DQ14">
            <v>8.39</v>
          </cell>
          <cell r="DR14">
            <v>8.37</v>
          </cell>
          <cell r="DS14">
            <v>8.38</v>
          </cell>
          <cell r="DT14">
            <v>7.78</v>
          </cell>
          <cell r="DU14">
            <v>7.25</v>
          </cell>
          <cell r="DV14">
            <v>7.54</v>
          </cell>
          <cell r="DW14">
            <v>7.85</v>
          </cell>
          <cell r="DX14">
            <v>8.03</v>
          </cell>
          <cell r="DY14">
            <v>8.12</v>
          </cell>
          <cell r="DZ14">
            <v>8.3</v>
          </cell>
          <cell r="EA14">
            <v>8.37</v>
          </cell>
          <cell r="EB14">
            <v>8.35</v>
          </cell>
          <cell r="EC14">
            <v>8.35</v>
          </cell>
          <cell r="ED14">
            <v>8.41</v>
          </cell>
          <cell r="EE14">
            <v>8.4</v>
          </cell>
          <cell r="EF14">
            <v>8.2</v>
          </cell>
          <cell r="EG14">
            <v>8.4</v>
          </cell>
          <cell r="EH14">
            <v>8.42</v>
          </cell>
          <cell r="EI14">
            <v>8.44</v>
          </cell>
          <cell r="EJ14">
            <v>8.5</v>
          </cell>
          <cell r="EK14">
            <v>8.64</v>
          </cell>
          <cell r="EL14">
            <v>8.56</v>
          </cell>
          <cell r="EM14">
            <v>8.36</v>
          </cell>
          <cell r="EN14">
            <v>8.55</v>
          </cell>
          <cell r="EO14">
            <v>8.58</v>
          </cell>
          <cell r="EP14">
            <v>8.68</v>
          </cell>
          <cell r="EQ14">
            <v>8.77</v>
          </cell>
          <cell r="ER14">
            <v>8.89</v>
          </cell>
          <cell r="ES14">
            <v>8.71</v>
          </cell>
          <cell r="ET14">
            <v>8.6</v>
          </cell>
          <cell r="EU14">
            <v>8.65</v>
          </cell>
          <cell r="EV14">
            <v>8.6</v>
          </cell>
          <cell r="EW14">
            <v>8.57</v>
          </cell>
          <cell r="EX14">
            <v>8.58</v>
          </cell>
          <cell r="EY14">
            <v>8.55</v>
          </cell>
          <cell r="EZ14">
            <v>8.47</v>
          </cell>
          <cell r="FA14">
            <v>8.47</v>
          </cell>
          <cell r="FB14">
            <v>8.69</v>
          </cell>
          <cell r="FC14">
            <v>8.66</v>
          </cell>
          <cell r="FD14">
            <v>8.63</v>
          </cell>
          <cell r="FE14">
            <v>8.66</v>
          </cell>
          <cell r="FF14">
            <v>8.72</v>
          </cell>
          <cell r="FG14">
            <v>8.64</v>
          </cell>
          <cell r="FH14">
            <v>8.36</v>
          </cell>
          <cell r="FI14">
            <v>8.24</v>
          </cell>
          <cell r="FJ14">
            <v>9.09</v>
          </cell>
          <cell r="FK14">
            <v>9.46</v>
          </cell>
          <cell r="FL14">
            <v>9.64</v>
          </cell>
          <cell r="FM14">
            <v>9.69</v>
          </cell>
          <cell r="FN14">
            <v>9.59</v>
          </cell>
          <cell r="FO14">
            <v>9.21</v>
          </cell>
          <cell r="FP14">
            <v>9.5</v>
          </cell>
          <cell r="FQ14">
            <v>9.53</v>
          </cell>
          <cell r="FR14">
            <v>9.59</v>
          </cell>
          <cell r="FS14">
            <v>9.76</v>
          </cell>
          <cell r="FT14">
            <v>9.72</v>
          </cell>
          <cell r="FU14">
            <v>9.66</v>
          </cell>
          <cell r="FV14">
            <v>9.39</v>
          </cell>
          <cell r="FW14">
            <v>9.5</v>
          </cell>
          <cell r="FX14">
            <v>9.49</v>
          </cell>
          <cell r="FY14">
            <v>9.45</v>
          </cell>
          <cell r="FZ14">
            <v>9.49</v>
          </cell>
          <cell r="GA14">
            <v>9.57</v>
          </cell>
          <cell r="GB14">
            <v>9.52</v>
          </cell>
          <cell r="GC14">
            <v>9.36</v>
          </cell>
          <cell r="GD14">
            <v>9.45</v>
          </cell>
          <cell r="GE14">
            <v>9.39</v>
          </cell>
          <cell r="GF14">
            <v>9.66</v>
          </cell>
          <cell r="GG14">
            <v>9.88</v>
          </cell>
          <cell r="GH14">
            <v>10.04</v>
          </cell>
          <cell r="GI14">
            <v>10.19</v>
          </cell>
          <cell r="GJ14">
            <v>10.12</v>
          </cell>
          <cell r="GK14">
            <v>10.26</v>
          </cell>
          <cell r="GL14">
            <v>10.24</v>
          </cell>
          <cell r="GM14">
            <v>10.14</v>
          </cell>
          <cell r="GN14">
            <v>10.09</v>
          </cell>
          <cell r="GO14">
            <v>10.12</v>
          </cell>
          <cell r="GP14">
            <v>9.93</v>
          </cell>
          <cell r="GQ14">
            <v>9.8</v>
          </cell>
          <cell r="GR14">
            <v>10.13</v>
          </cell>
          <cell r="GS14">
            <v>10.21</v>
          </cell>
          <cell r="GT14">
            <v>10.25</v>
          </cell>
          <cell r="GU14">
            <v>10.36</v>
          </cell>
          <cell r="GV14">
            <v>10.42</v>
          </cell>
          <cell r="GW14">
            <v>10.45</v>
          </cell>
          <cell r="GX14">
            <v>10.54</v>
          </cell>
          <cell r="GY14">
            <v>10.87</v>
          </cell>
          <cell r="GZ14">
            <v>11.1</v>
          </cell>
          <cell r="HA14">
            <v>10.86</v>
          </cell>
          <cell r="HB14">
            <v>10.7</v>
          </cell>
          <cell r="HC14">
            <v>10.49</v>
          </cell>
          <cell r="HD14">
            <v>10.06</v>
          </cell>
          <cell r="HE14">
            <v>9.84</v>
          </cell>
          <cell r="HF14">
            <v>10.08</v>
          </cell>
          <cell r="HG14">
            <v>10.17</v>
          </cell>
          <cell r="HH14">
            <v>10.31</v>
          </cell>
          <cell r="HI14">
            <v>10.49</v>
          </cell>
          <cell r="HJ14">
            <v>10.77</v>
          </cell>
          <cell r="HK14">
            <v>10.7</v>
          </cell>
          <cell r="HL14">
            <v>10.48</v>
          </cell>
          <cell r="HM14">
            <v>10.67</v>
          </cell>
          <cell r="HN14">
            <v>10.68</v>
          </cell>
          <cell r="HO14">
            <v>10.73</v>
          </cell>
          <cell r="HP14">
            <v>10.85</v>
          </cell>
          <cell r="HQ14">
            <v>10.77</v>
          </cell>
          <cell r="HR14">
            <v>10.58</v>
          </cell>
          <cell r="HS14">
            <v>10.3</v>
          </cell>
          <cell r="HT14">
            <v>10.44</v>
          </cell>
          <cell r="HU14">
            <v>10.34</v>
          </cell>
          <cell r="HV14">
            <v>10.27</v>
          </cell>
          <cell r="HW14">
            <v>10.16</v>
          </cell>
          <cell r="HX14">
            <v>10.16</v>
          </cell>
          <cell r="HY14">
            <v>9.96</v>
          </cell>
          <cell r="HZ14">
            <v>9.74</v>
          </cell>
          <cell r="IA14">
            <v>9.95</v>
          </cell>
          <cell r="IB14">
            <v>9.99</v>
          </cell>
          <cell r="IC14">
            <v>10.07</v>
          </cell>
          <cell r="ID14">
            <v>10.4</v>
          </cell>
          <cell r="IE14">
            <v>10.52</v>
          </cell>
          <cell r="IF14">
            <v>10.58</v>
          </cell>
          <cell r="IG14">
            <v>10.27</v>
          </cell>
          <cell r="IH14">
            <v>10.34</v>
          </cell>
          <cell r="II14">
            <v>10.12</v>
          </cell>
          <cell r="IJ14">
            <v>10.08</v>
          </cell>
          <cell r="IK14">
            <v>10.04</v>
          </cell>
          <cell r="IL14">
            <v>10.26</v>
          </cell>
          <cell r="IM14">
            <v>10.11</v>
          </cell>
          <cell r="IN14">
            <v>10.19</v>
          </cell>
          <cell r="IO14">
            <v>10.1</v>
          </cell>
          <cell r="IP14">
            <v>10.11</v>
          </cell>
          <cell r="IQ14">
            <v>10.32</v>
          </cell>
          <cell r="IR14">
            <v>10.15</v>
          </cell>
          <cell r="IS14">
            <v>9.87</v>
          </cell>
          <cell r="IT14">
            <v>9.83</v>
          </cell>
          <cell r="IU14">
            <v>9.8</v>
          </cell>
          <cell r="IV14">
            <v>10.04</v>
          </cell>
          <cell r="IW14">
            <v>9.84</v>
          </cell>
          <cell r="IX14">
            <v>9.71</v>
          </cell>
          <cell r="IY14">
            <v>9.73</v>
          </cell>
          <cell r="IZ14">
            <v>9.8</v>
          </cell>
          <cell r="JA14">
            <v>9.59</v>
          </cell>
          <cell r="JB14">
            <v>9.22</v>
          </cell>
          <cell r="JC14">
            <v>8.75</v>
          </cell>
          <cell r="JD14">
            <v>8.64</v>
          </cell>
          <cell r="JE14">
            <v>9.68</v>
          </cell>
          <cell r="JF14">
            <v>9.79</v>
          </cell>
          <cell r="JG14">
            <v>9.61</v>
          </cell>
          <cell r="JH14">
            <v>9.09</v>
          </cell>
          <cell r="JI14">
            <v>8.67</v>
          </cell>
          <cell r="JJ14">
            <v>8.74</v>
          </cell>
          <cell r="JK14">
            <v>8.82</v>
          </cell>
          <cell r="JL14">
            <v>8.94</v>
          </cell>
          <cell r="JM14">
            <v>9.02</v>
          </cell>
          <cell r="JN14">
            <v>9.15</v>
          </cell>
          <cell r="JO14">
            <v>9.13</v>
          </cell>
          <cell r="JP14">
            <v>9.04</v>
          </cell>
          <cell r="JQ14">
            <v>8.05</v>
          </cell>
          <cell r="JR14">
            <v>7.45</v>
          </cell>
          <cell r="JS14">
            <v>7.45</v>
          </cell>
          <cell r="JT14">
            <v>7.66</v>
          </cell>
          <cell r="JU14">
            <v>8.04</v>
          </cell>
          <cell r="JV14">
            <v>8.23</v>
          </cell>
          <cell r="JW14">
            <v>8.38</v>
          </cell>
          <cell r="JX14">
            <v>8.46</v>
          </cell>
          <cell r="JY14">
            <v>8.5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1-数据"/>
      <sheetName val="02-2024年负荷创新高次数统计"/>
      <sheetName val="03-各类趋势线"/>
      <sheetName val="04-数据分析"/>
    </sheetNames>
    <sheetDataSet>
      <sheetData sheetId="0">
        <row r="1">
          <cell r="C1">
            <v>45292</v>
          </cell>
          <cell r="D1">
            <v>45293</v>
          </cell>
          <cell r="E1">
            <v>45294</v>
          </cell>
          <cell r="F1">
            <v>45295</v>
          </cell>
          <cell r="G1">
            <v>45296</v>
          </cell>
          <cell r="H1">
            <v>45297</v>
          </cell>
          <cell r="I1">
            <v>45298</v>
          </cell>
          <cell r="J1">
            <v>45299</v>
          </cell>
          <cell r="K1">
            <v>45300</v>
          </cell>
          <cell r="L1">
            <v>45301</v>
          </cell>
          <cell r="M1">
            <v>45302</v>
          </cell>
          <cell r="N1">
            <v>45303</v>
          </cell>
          <cell r="O1">
            <v>45304</v>
          </cell>
          <cell r="P1">
            <v>45305</v>
          </cell>
          <cell r="Q1">
            <v>45306</v>
          </cell>
          <cell r="R1">
            <v>45307</v>
          </cell>
          <cell r="S1">
            <v>45308</v>
          </cell>
          <cell r="T1">
            <v>45309</v>
          </cell>
          <cell r="U1">
            <v>45310</v>
          </cell>
          <cell r="V1">
            <v>45311</v>
          </cell>
          <cell r="W1">
            <v>45312</v>
          </cell>
          <cell r="X1">
            <v>45313</v>
          </cell>
          <cell r="Y1">
            <v>45314</v>
          </cell>
          <cell r="Z1">
            <v>45315</v>
          </cell>
          <cell r="AA1">
            <v>45316</v>
          </cell>
          <cell r="AB1">
            <v>45317</v>
          </cell>
          <cell r="AC1">
            <v>45318</v>
          </cell>
          <cell r="AD1">
            <v>45319</v>
          </cell>
          <cell r="AE1">
            <v>45320</v>
          </cell>
          <cell r="AF1">
            <v>45321</v>
          </cell>
          <cell r="AG1">
            <v>45322</v>
          </cell>
          <cell r="AH1">
            <v>45323</v>
          </cell>
          <cell r="AI1">
            <v>45324</v>
          </cell>
          <cell r="AJ1">
            <v>45325</v>
          </cell>
          <cell r="AK1">
            <v>45326</v>
          </cell>
          <cell r="AL1">
            <v>45327</v>
          </cell>
          <cell r="AM1">
            <v>45328</v>
          </cell>
          <cell r="AN1">
            <v>45329</v>
          </cell>
          <cell r="AO1">
            <v>45330</v>
          </cell>
          <cell r="AP1">
            <v>45331</v>
          </cell>
          <cell r="AQ1">
            <v>45332</v>
          </cell>
          <cell r="AR1">
            <v>45333</v>
          </cell>
          <cell r="AS1">
            <v>45334</v>
          </cell>
          <cell r="AT1">
            <v>45335</v>
          </cell>
          <cell r="AU1">
            <v>45336</v>
          </cell>
          <cell r="AV1">
            <v>45337</v>
          </cell>
          <cell r="AW1">
            <v>45338</v>
          </cell>
          <cell r="AX1">
            <v>45339</v>
          </cell>
          <cell r="AY1">
            <v>45340</v>
          </cell>
          <cell r="AZ1">
            <v>45341</v>
          </cell>
          <cell r="BA1">
            <v>45342</v>
          </cell>
          <cell r="BB1">
            <v>45343</v>
          </cell>
          <cell r="BC1">
            <v>45344</v>
          </cell>
          <cell r="BD1">
            <v>45345</v>
          </cell>
          <cell r="BE1">
            <v>45346</v>
          </cell>
          <cell r="BF1">
            <v>45347</v>
          </cell>
          <cell r="BG1">
            <v>45348</v>
          </cell>
          <cell r="BH1">
            <v>45349</v>
          </cell>
          <cell r="BI1">
            <v>45350</v>
          </cell>
          <cell r="BJ1">
            <v>45351</v>
          </cell>
          <cell r="BK1">
            <v>45352</v>
          </cell>
          <cell r="BL1">
            <v>45353</v>
          </cell>
          <cell r="BM1">
            <v>45354</v>
          </cell>
          <cell r="BN1">
            <v>45355</v>
          </cell>
          <cell r="BO1">
            <v>45356</v>
          </cell>
          <cell r="BP1">
            <v>45357</v>
          </cell>
          <cell r="BQ1">
            <v>45358</v>
          </cell>
          <cell r="BR1">
            <v>45359</v>
          </cell>
          <cell r="BS1">
            <v>45360</v>
          </cell>
          <cell r="BT1">
            <v>45361</v>
          </cell>
          <cell r="BU1">
            <v>45362</v>
          </cell>
          <cell r="BV1">
            <v>45363</v>
          </cell>
          <cell r="BW1">
            <v>45364</v>
          </cell>
          <cell r="BX1">
            <v>45365</v>
          </cell>
          <cell r="BY1">
            <v>45366</v>
          </cell>
          <cell r="BZ1">
            <v>45367</v>
          </cell>
          <cell r="CA1">
            <v>45368</v>
          </cell>
          <cell r="CB1">
            <v>45369</v>
          </cell>
          <cell r="CC1">
            <v>45370</v>
          </cell>
          <cell r="CD1">
            <v>45371</v>
          </cell>
          <cell r="CE1">
            <v>45372</v>
          </cell>
          <cell r="CF1">
            <v>45373</v>
          </cell>
          <cell r="CG1">
            <v>45374</v>
          </cell>
          <cell r="CH1">
            <v>45375</v>
          </cell>
          <cell r="CI1">
            <v>45376</v>
          </cell>
          <cell r="CJ1">
            <v>45377</v>
          </cell>
          <cell r="CK1">
            <v>45378</v>
          </cell>
          <cell r="CL1">
            <v>45379</v>
          </cell>
          <cell r="CM1">
            <v>45380</v>
          </cell>
          <cell r="CN1">
            <v>45381</v>
          </cell>
          <cell r="CO1">
            <v>45382</v>
          </cell>
          <cell r="CP1">
            <v>45383</v>
          </cell>
          <cell r="CQ1">
            <v>45384</v>
          </cell>
          <cell r="CR1">
            <v>45385</v>
          </cell>
          <cell r="CS1">
            <v>45386</v>
          </cell>
          <cell r="CT1">
            <v>45387</v>
          </cell>
          <cell r="CU1">
            <v>45388</v>
          </cell>
          <cell r="CV1">
            <v>45389</v>
          </cell>
          <cell r="CW1">
            <v>45390</v>
          </cell>
          <cell r="CX1">
            <v>45391</v>
          </cell>
          <cell r="CY1">
            <v>45392</v>
          </cell>
          <cell r="CZ1">
            <v>45393</v>
          </cell>
          <cell r="DA1">
            <v>45394</v>
          </cell>
          <cell r="DB1">
            <v>45395</v>
          </cell>
          <cell r="DC1">
            <v>45396</v>
          </cell>
          <cell r="DD1">
            <v>45397</v>
          </cell>
          <cell r="DE1">
            <v>45398</v>
          </cell>
          <cell r="DF1">
            <v>45399</v>
          </cell>
          <cell r="DG1">
            <v>45400</v>
          </cell>
          <cell r="DH1">
            <v>45401</v>
          </cell>
          <cell r="DI1">
            <v>45402</v>
          </cell>
          <cell r="DJ1">
            <v>45403</v>
          </cell>
          <cell r="DK1">
            <v>45404</v>
          </cell>
          <cell r="DL1">
            <v>45405</v>
          </cell>
          <cell r="DM1">
            <v>45406</v>
          </cell>
          <cell r="DN1">
            <v>45407</v>
          </cell>
          <cell r="DO1">
            <v>45408</v>
          </cell>
          <cell r="DP1">
            <v>45409</v>
          </cell>
          <cell r="DQ1">
            <v>45410</v>
          </cell>
          <cell r="DR1">
            <v>45411</v>
          </cell>
          <cell r="DS1">
            <v>45412</v>
          </cell>
          <cell r="DT1">
            <v>45413</v>
          </cell>
          <cell r="DU1">
            <v>45414</v>
          </cell>
          <cell r="DV1">
            <v>45415</v>
          </cell>
          <cell r="DW1">
            <v>45416</v>
          </cell>
          <cell r="DX1">
            <v>45417</v>
          </cell>
          <cell r="DY1">
            <v>45418</v>
          </cell>
          <cell r="DZ1">
            <v>45419</v>
          </cell>
          <cell r="EA1">
            <v>45420</v>
          </cell>
          <cell r="EB1">
            <v>45421</v>
          </cell>
          <cell r="EC1">
            <v>45422</v>
          </cell>
          <cell r="ED1">
            <v>45423</v>
          </cell>
          <cell r="EE1">
            <v>45424</v>
          </cell>
          <cell r="EF1">
            <v>45425</v>
          </cell>
          <cell r="EG1">
            <v>45426</v>
          </cell>
          <cell r="EH1">
            <v>45427</v>
          </cell>
          <cell r="EI1">
            <v>45428</v>
          </cell>
          <cell r="EJ1">
            <v>45429</v>
          </cell>
          <cell r="EK1">
            <v>45430</v>
          </cell>
          <cell r="EL1">
            <v>45431</v>
          </cell>
          <cell r="EM1">
            <v>45432</v>
          </cell>
          <cell r="EN1">
            <v>45433</v>
          </cell>
          <cell r="EO1">
            <v>45434</v>
          </cell>
          <cell r="EP1">
            <v>45435</v>
          </cell>
          <cell r="EQ1">
            <v>45436</v>
          </cell>
          <cell r="ER1">
            <v>45437</v>
          </cell>
          <cell r="ES1">
            <v>45438</v>
          </cell>
          <cell r="ET1">
            <v>45439</v>
          </cell>
          <cell r="EU1">
            <v>45440</v>
          </cell>
          <cell r="EV1">
            <v>45441</v>
          </cell>
          <cell r="EW1">
            <v>45442</v>
          </cell>
          <cell r="EX1">
            <v>45443</v>
          </cell>
          <cell r="EY1">
            <v>45444</v>
          </cell>
          <cell r="EZ1">
            <v>45445</v>
          </cell>
          <cell r="FA1">
            <v>45446</v>
          </cell>
          <cell r="FB1">
            <v>45447</v>
          </cell>
          <cell r="FC1">
            <v>45448</v>
          </cell>
          <cell r="FD1">
            <v>45449</v>
          </cell>
          <cell r="FE1">
            <v>45450</v>
          </cell>
          <cell r="FF1">
            <v>45451</v>
          </cell>
          <cell r="FG1">
            <v>45452</v>
          </cell>
          <cell r="FH1">
            <v>45453</v>
          </cell>
          <cell r="FI1">
            <v>45454</v>
          </cell>
          <cell r="FJ1">
            <v>45455</v>
          </cell>
          <cell r="FK1">
            <v>45456</v>
          </cell>
          <cell r="FL1">
            <v>45457</v>
          </cell>
          <cell r="FM1">
            <v>45458</v>
          </cell>
          <cell r="FN1">
            <v>45459</v>
          </cell>
          <cell r="FO1">
            <v>45460</v>
          </cell>
          <cell r="FP1">
            <v>45461</v>
          </cell>
          <cell r="FQ1">
            <v>45462</v>
          </cell>
          <cell r="FR1">
            <v>45463</v>
          </cell>
          <cell r="FS1">
            <v>45464</v>
          </cell>
          <cell r="FT1">
            <v>45465</v>
          </cell>
          <cell r="FU1">
            <v>45466</v>
          </cell>
          <cell r="FV1">
            <v>45467</v>
          </cell>
          <cell r="FW1">
            <v>45468</v>
          </cell>
          <cell r="FX1">
            <v>45469</v>
          </cell>
          <cell r="FY1">
            <v>45470</v>
          </cell>
          <cell r="FZ1">
            <v>45471</v>
          </cell>
          <cell r="GA1">
            <v>45472</v>
          </cell>
          <cell r="GB1">
            <v>45473</v>
          </cell>
          <cell r="GC1">
            <v>45474</v>
          </cell>
          <cell r="GD1">
            <v>45475</v>
          </cell>
          <cell r="GE1">
            <v>45476</v>
          </cell>
          <cell r="GF1">
            <v>45477</v>
          </cell>
          <cell r="GG1">
            <v>45478</v>
          </cell>
          <cell r="GH1">
            <v>45479</v>
          </cell>
          <cell r="GI1">
            <v>45480</v>
          </cell>
          <cell r="GJ1">
            <v>45481</v>
          </cell>
          <cell r="GK1">
            <v>45482</v>
          </cell>
          <cell r="GL1">
            <v>45483</v>
          </cell>
          <cell r="GM1">
            <v>45484</v>
          </cell>
          <cell r="GN1">
            <v>45485</v>
          </cell>
          <cell r="GO1">
            <v>45486</v>
          </cell>
          <cell r="GP1">
            <v>45487</v>
          </cell>
          <cell r="GQ1">
            <v>45488</v>
          </cell>
          <cell r="GR1">
            <v>45489</v>
          </cell>
          <cell r="GS1">
            <v>45490</v>
          </cell>
          <cell r="GT1">
            <v>45491</v>
          </cell>
          <cell r="GU1">
            <v>45492</v>
          </cell>
          <cell r="GV1">
            <v>45493</v>
          </cell>
          <cell r="GW1">
            <v>45494</v>
          </cell>
          <cell r="GX1">
            <v>45495</v>
          </cell>
          <cell r="GY1">
            <v>45496</v>
          </cell>
          <cell r="GZ1">
            <v>45497</v>
          </cell>
          <cell r="HA1">
            <v>45498</v>
          </cell>
          <cell r="HB1">
            <v>45499</v>
          </cell>
          <cell r="HC1">
            <v>45500</v>
          </cell>
          <cell r="HD1">
            <v>45501</v>
          </cell>
          <cell r="HE1">
            <v>45502</v>
          </cell>
          <cell r="HF1">
            <v>45503</v>
          </cell>
          <cell r="HG1">
            <v>45504</v>
          </cell>
          <cell r="HH1">
            <v>45505</v>
          </cell>
          <cell r="HI1">
            <v>45506</v>
          </cell>
          <cell r="HJ1">
            <v>45507</v>
          </cell>
          <cell r="HK1">
            <v>45508</v>
          </cell>
          <cell r="HL1">
            <v>45509</v>
          </cell>
          <cell r="HM1">
            <v>45510</v>
          </cell>
          <cell r="HN1">
            <v>45511</v>
          </cell>
          <cell r="HO1">
            <v>45512</v>
          </cell>
          <cell r="HP1">
            <v>45513</v>
          </cell>
          <cell r="HQ1">
            <v>45514</v>
          </cell>
          <cell r="HR1">
            <v>45515</v>
          </cell>
          <cell r="HS1">
            <v>45516</v>
          </cell>
          <cell r="HT1">
            <v>45517</v>
          </cell>
          <cell r="HU1">
            <v>45518</v>
          </cell>
          <cell r="HV1">
            <v>45519</v>
          </cell>
          <cell r="HW1">
            <v>45520</v>
          </cell>
          <cell r="HX1">
            <v>45521</v>
          </cell>
          <cell r="HY1">
            <v>45522</v>
          </cell>
          <cell r="HZ1">
            <v>45523</v>
          </cell>
          <cell r="IA1">
            <v>45524</v>
          </cell>
          <cell r="IB1">
            <v>45525</v>
          </cell>
          <cell r="IC1">
            <v>45526</v>
          </cell>
          <cell r="ID1">
            <v>45527</v>
          </cell>
          <cell r="IE1">
            <v>45528</v>
          </cell>
          <cell r="IF1">
            <v>45529</v>
          </cell>
          <cell r="IG1">
            <v>45530</v>
          </cell>
          <cell r="IH1">
            <v>45531</v>
          </cell>
          <cell r="II1">
            <v>45532</v>
          </cell>
          <cell r="IJ1">
            <v>45533</v>
          </cell>
          <cell r="IK1">
            <v>45534</v>
          </cell>
          <cell r="IL1">
            <v>45535</v>
          </cell>
          <cell r="IM1">
            <v>45536</v>
          </cell>
          <cell r="IN1">
            <v>45537</v>
          </cell>
          <cell r="IO1">
            <v>45538</v>
          </cell>
          <cell r="IP1">
            <v>45539</v>
          </cell>
          <cell r="IQ1">
            <v>45540</v>
          </cell>
          <cell r="IR1">
            <v>45541</v>
          </cell>
          <cell r="IS1">
            <v>45542</v>
          </cell>
          <cell r="IT1">
            <v>45543</v>
          </cell>
          <cell r="IU1">
            <v>45544</v>
          </cell>
          <cell r="IV1">
            <v>45545</v>
          </cell>
          <cell r="IW1">
            <v>45546</v>
          </cell>
          <cell r="IX1">
            <v>45547</v>
          </cell>
          <cell r="IY1">
            <v>45548</v>
          </cell>
          <cell r="IZ1">
            <v>45549</v>
          </cell>
          <cell r="JA1">
            <v>45550</v>
          </cell>
          <cell r="JB1">
            <v>45551</v>
          </cell>
          <cell r="JC1">
            <v>45552</v>
          </cell>
          <cell r="JD1">
            <v>45553</v>
          </cell>
          <cell r="JE1">
            <v>45554</v>
          </cell>
          <cell r="JF1">
            <v>45555</v>
          </cell>
          <cell r="JG1">
            <v>45556</v>
          </cell>
          <cell r="JH1">
            <v>45557</v>
          </cell>
          <cell r="JI1">
            <v>45558</v>
          </cell>
          <cell r="JJ1">
            <v>45559</v>
          </cell>
          <cell r="JK1">
            <v>45560</v>
          </cell>
          <cell r="JL1">
            <v>45561</v>
          </cell>
          <cell r="JM1">
            <v>45562</v>
          </cell>
          <cell r="JN1">
            <v>45563</v>
          </cell>
          <cell r="JO1">
            <v>45564</v>
          </cell>
          <cell r="JP1">
            <v>45565</v>
          </cell>
          <cell r="JQ1">
            <v>45566</v>
          </cell>
          <cell r="JR1">
            <v>45567</v>
          </cell>
          <cell r="JS1">
            <v>45568</v>
          </cell>
          <cell r="JT1">
            <v>45569</v>
          </cell>
          <cell r="JU1">
            <v>45570</v>
          </cell>
          <cell r="JV1">
            <v>45571</v>
          </cell>
          <cell r="JW1">
            <v>45572</v>
          </cell>
          <cell r="JX1">
            <v>45573</v>
          </cell>
          <cell r="JY1">
            <v>45574</v>
          </cell>
          <cell r="JZ1">
            <v>45575</v>
          </cell>
          <cell r="KA1">
            <v>45576</v>
          </cell>
          <cell r="KB1">
            <v>45577</v>
          </cell>
          <cell r="KC1">
            <v>45578</v>
          </cell>
          <cell r="KD1">
            <v>45579</v>
          </cell>
          <cell r="KE1">
            <v>45580</v>
          </cell>
          <cell r="KF1">
            <v>45581</v>
          </cell>
          <cell r="KG1">
            <v>45582</v>
          </cell>
          <cell r="KH1">
            <v>45583</v>
          </cell>
          <cell r="KI1">
            <v>45584</v>
          </cell>
          <cell r="KJ1">
            <v>45585</v>
          </cell>
          <cell r="KK1">
            <v>45586</v>
          </cell>
          <cell r="KL1">
            <v>45587</v>
          </cell>
          <cell r="KM1">
            <v>45588</v>
          </cell>
          <cell r="KN1">
            <v>45589</v>
          </cell>
          <cell r="KO1">
            <v>45590</v>
          </cell>
          <cell r="KP1">
            <v>45591</v>
          </cell>
          <cell r="KQ1">
            <v>45592</v>
          </cell>
          <cell r="KR1">
            <v>45593</v>
          </cell>
          <cell r="KS1">
            <v>45594</v>
          </cell>
          <cell r="KT1">
            <v>45595</v>
          </cell>
          <cell r="KU1">
            <v>45596</v>
          </cell>
          <cell r="KV1">
            <v>45597</v>
          </cell>
          <cell r="KW1">
            <v>45598</v>
          </cell>
          <cell r="KX1">
            <v>45599</v>
          </cell>
          <cell r="KY1">
            <v>45600</v>
          </cell>
          <cell r="KZ1">
            <v>45601</v>
          </cell>
          <cell r="LA1">
            <v>45602</v>
          </cell>
          <cell r="LB1">
            <v>45603</v>
          </cell>
          <cell r="LC1">
            <v>45604</v>
          </cell>
          <cell r="LD1">
            <v>45605</v>
          </cell>
          <cell r="LE1">
            <v>45606</v>
          </cell>
          <cell r="LF1">
            <v>45607</v>
          </cell>
          <cell r="LG1">
            <v>45608</v>
          </cell>
          <cell r="LH1">
            <v>45609</v>
          </cell>
          <cell r="LI1">
            <v>45610</v>
          </cell>
          <cell r="LJ1">
            <v>45611</v>
          </cell>
          <cell r="LK1">
            <v>45612</v>
          </cell>
          <cell r="LL1">
            <v>45613</v>
          </cell>
          <cell r="LM1">
            <v>45614</v>
          </cell>
          <cell r="LN1">
            <v>45615</v>
          </cell>
          <cell r="LO1">
            <v>45616</v>
          </cell>
          <cell r="LP1">
            <v>45617</v>
          </cell>
          <cell r="LQ1">
            <v>45618</v>
          </cell>
          <cell r="LR1">
            <v>45619</v>
          </cell>
          <cell r="LS1">
            <v>45620</v>
          </cell>
          <cell r="LT1">
            <v>45621</v>
          </cell>
          <cell r="LU1">
            <v>45622</v>
          </cell>
          <cell r="LV1">
            <v>45623</v>
          </cell>
          <cell r="LW1">
            <v>45624</v>
          </cell>
          <cell r="LX1">
            <v>45625</v>
          </cell>
          <cell r="LY1">
            <v>45626</v>
          </cell>
          <cell r="LZ1">
            <v>45627</v>
          </cell>
          <cell r="MA1">
            <v>45628</v>
          </cell>
          <cell r="MB1">
            <v>45629</v>
          </cell>
          <cell r="MC1">
            <v>45630</v>
          </cell>
          <cell r="MD1">
            <v>45631</v>
          </cell>
          <cell r="ME1">
            <v>45632</v>
          </cell>
          <cell r="MF1">
            <v>45633</v>
          </cell>
          <cell r="MG1">
            <v>45634</v>
          </cell>
          <cell r="MH1">
            <v>45635</v>
          </cell>
          <cell r="MI1">
            <v>45636</v>
          </cell>
          <cell r="MJ1">
            <v>45637</v>
          </cell>
          <cell r="MK1">
            <v>45638</v>
          </cell>
          <cell r="ML1">
            <v>45639</v>
          </cell>
          <cell r="MM1">
            <v>45640</v>
          </cell>
          <cell r="MN1">
            <v>45641</v>
          </cell>
          <cell r="MO1">
            <v>45642</v>
          </cell>
          <cell r="MP1">
            <v>45643</v>
          </cell>
          <cell r="MQ1">
            <v>45644</v>
          </cell>
          <cell r="MR1">
            <v>45645</v>
          </cell>
          <cell r="MS1">
            <v>45646</v>
          </cell>
          <cell r="MT1">
            <v>45647</v>
          </cell>
          <cell r="MU1">
            <v>45648</v>
          </cell>
          <cell r="MV1">
            <v>45649</v>
          </cell>
          <cell r="MW1">
            <v>45650</v>
          </cell>
          <cell r="MX1">
            <v>45651</v>
          </cell>
          <cell r="MY1">
            <v>45652</v>
          </cell>
          <cell r="MZ1">
            <v>45653</v>
          </cell>
          <cell r="NA1">
            <v>45654</v>
          </cell>
          <cell r="NB1">
            <v>45655</v>
          </cell>
          <cell r="NC1">
            <v>45656</v>
          </cell>
          <cell r="ND1">
            <v>45657</v>
          </cell>
        </row>
        <row r="3">
          <cell r="C3">
            <v>242.48</v>
          </cell>
          <cell r="D3">
            <v>505.09</v>
          </cell>
          <cell r="E3">
            <v>773.94</v>
          </cell>
          <cell r="F3">
            <v>1044.36</v>
          </cell>
          <cell r="G3">
            <v>1312.85</v>
          </cell>
          <cell r="H3">
            <v>1578.42</v>
          </cell>
          <cell r="I3">
            <v>1841.73</v>
          </cell>
          <cell r="J3">
            <v>2113.7</v>
          </cell>
          <cell r="K3">
            <v>2383.53</v>
          </cell>
          <cell r="L3">
            <v>2655.16</v>
          </cell>
          <cell r="M3">
            <v>2924.02</v>
          </cell>
          <cell r="N3">
            <v>3190.05</v>
          </cell>
          <cell r="O3">
            <v>3450.92</v>
          </cell>
          <cell r="P3">
            <v>3706.65</v>
          </cell>
          <cell r="Q3">
            <v>3972.79</v>
          </cell>
          <cell r="R3">
            <v>4243.49</v>
          </cell>
          <cell r="S3">
            <v>4512.08</v>
          </cell>
          <cell r="T3">
            <v>4782.52</v>
          </cell>
          <cell r="U3">
            <v>5055.75</v>
          </cell>
          <cell r="V3">
            <v>5327.62</v>
          </cell>
          <cell r="W3">
            <v>5599.25</v>
          </cell>
          <cell r="X3">
            <v>5887.35</v>
          </cell>
          <cell r="Y3">
            <v>6179.52</v>
          </cell>
          <cell r="Z3">
            <v>6469.96</v>
          </cell>
          <cell r="AA3">
            <v>6753.68</v>
          </cell>
          <cell r="AB3">
            <v>7031.86</v>
          </cell>
          <cell r="AC3">
            <v>7301.56</v>
          </cell>
          <cell r="AD3">
            <v>7563.26</v>
          </cell>
          <cell r="AE3">
            <v>7825.81</v>
          </cell>
          <cell r="AF3">
            <v>8082.61</v>
          </cell>
          <cell r="AG3">
            <v>8334.18</v>
          </cell>
          <cell r="AH3">
            <v>251.35</v>
          </cell>
          <cell r="AI3">
            <v>502.32</v>
          </cell>
          <cell r="AJ3">
            <v>747.37</v>
          </cell>
          <cell r="AK3">
            <v>991.16</v>
          </cell>
          <cell r="AL3">
            <v>1231.22</v>
          </cell>
          <cell r="AM3">
            <v>1466.02</v>
          </cell>
          <cell r="AN3">
            <v>1693.89</v>
          </cell>
          <cell r="AO3">
            <v>1912.12</v>
          </cell>
          <cell r="AP3">
            <v>2119.5</v>
          </cell>
          <cell r="AQ3">
            <v>2309.25</v>
          </cell>
          <cell r="AR3">
            <v>2492.89</v>
          </cell>
          <cell r="AS3">
            <v>2674.43</v>
          </cell>
          <cell r="AT3">
            <v>2854.2</v>
          </cell>
          <cell r="AU3">
            <v>3035.89</v>
          </cell>
          <cell r="AV3">
            <v>3225.08</v>
          </cell>
          <cell r="AW3">
            <v>3418.63</v>
          </cell>
          <cell r="AX3">
            <v>3616.71</v>
          </cell>
          <cell r="AY3">
            <v>3823.29</v>
          </cell>
          <cell r="AZ3">
            <v>4041.85</v>
          </cell>
          <cell r="BA3">
            <v>4274.96</v>
          </cell>
          <cell r="BB3">
            <v>4520.28</v>
          </cell>
          <cell r="BC3">
            <v>4775.81</v>
          </cell>
          <cell r="BD3">
            <v>5036.81</v>
          </cell>
          <cell r="BE3">
            <v>5291.62</v>
          </cell>
          <cell r="BF3">
            <v>5545.66</v>
          </cell>
          <cell r="BG3">
            <v>5807.7</v>
          </cell>
          <cell r="BH3">
            <v>6069.06</v>
          </cell>
          <cell r="BI3">
            <v>6332.66</v>
          </cell>
          <cell r="BJ3">
            <v>6598.63</v>
          </cell>
          <cell r="BK3">
            <v>267.19</v>
          </cell>
          <cell r="BL3">
            <v>527.02</v>
          </cell>
          <cell r="BM3">
            <v>778.67</v>
          </cell>
          <cell r="BN3">
            <v>1037.46</v>
          </cell>
          <cell r="BO3">
            <v>1298.6</v>
          </cell>
          <cell r="BP3">
            <v>1558.48</v>
          </cell>
          <cell r="BQ3">
            <v>1815.83</v>
          </cell>
          <cell r="BR3">
            <v>2070.5</v>
          </cell>
          <cell r="BS3">
            <v>2321.51</v>
          </cell>
          <cell r="BT3">
            <v>2566.2</v>
          </cell>
          <cell r="BU3">
            <v>2812.49</v>
          </cell>
          <cell r="BV3">
            <v>3058.96</v>
          </cell>
          <cell r="BW3">
            <v>3306.56</v>
          </cell>
          <cell r="BX3">
            <v>3554.07</v>
          </cell>
          <cell r="BY3">
            <v>3798.9</v>
          </cell>
          <cell r="BZ3">
            <v>4039.3</v>
          </cell>
          <cell r="CA3">
            <v>4275.76</v>
          </cell>
          <cell r="CB3">
            <v>4520.54</v>
          </cell>
          <cell r="CC3">
            <v>4764.83</v>
          </cell>
          <cell r="CD3">
            <v>5006.01</v>
          </cell>
          <cell r="CE3">
            <v>5248.03</v>
          </cell>
          <cell r="CF3">
            <v>5489.8</v>
          </cell>
          <cell r="CG3">
            <v>5729.06</v>
          </cell>
          <cell r="CH3">
            <v>5964.3</v>
          </cell>
          <cell r="CI3">
            <v>6206.02</v>
          </cell>
          <cell r="CJ3">
            <v>6448.43</v>
          </cell>
          <cell r="CK3">
            <v>6692.7</v>
          </cell>
          <cell r="CL3">
            <v>6935.05</v>
          </cell>
          <cell r="CM3">
            <v>7276.71</v>
          </cell>
          <cell r="CN3">
            <v>7415.31</v>
          </cell>
          <cell r="CO3">
            <v>7648.64</v>
          </cell>
          <cell r="CP3">
            <v>237.25</v>
          </cell>
          <cell r="CQ3">
            <v>476.69</v>
          </cell>
          <cell r="CR3">
            <v>716.12</v>
          </cell>
          <cell r="CS3">
            <v>933.67</v>
          </cell>
          <cell r="CT3">
            <v>1156.34</v>
          </cell>
          <cell r="CU3">
            <v>1387.9</v>
          </cell>
          <cell r="CV3">
            <v>1623.93</v>
          </cell>
          <cell r="CW3">
            <v>1861.59</v>
          </cell>
          <cell r="CX3">
            <v>2098.58</v>
          </cell>
          <cell r="CY3">
            <v>2335.73</v>
          </cell>
          <cell r="CZ3">
            <v>2573.84</v>
          </cell>
          <cell r="DA3">
            <v>2813.31</v>
          </cell>
          <cell r="DB3">
            <v>3051.67</v>
          </cell>
          <cell r="DC3">
            <v>3285.03</v>
          </cell>
          <cell r="DD3">
            <v>3525.54</v>
          </cell>
          <cell r="DE3">
            <v>3766.62</v>
          </cell>
          <cell r="DF3">
            <v>4008.85</v>
          </cell>
          <cell r="DG3">
            <v>4249.92</v>
          </cell>
          <cell r="DH3">
            <v>4489.4</v>
          </cell>
          <cell r="DI3">
            <v>4726.72</v>
          </cell>
          <cell r="DJ3">
            <v>4957.32</v>
          </cell>
          <cell r="DK3">
            <v>5193.82</v>
          </cell>
          <cell r="DL3">
            <v>5431.92</v>
          </cell>
          <cell r="DM3">
            <v>5670.8</v>
          </cell>
          <cell r="DN3">
            <v>5910.49</v>
          </cell>
          <cell r="DO3">
            <v>6152.52</v>
          </cell>
          <cell r="DP3">
            <v>6394.31</v>
          </cell>
          <cell r="DQ3">
            <v>6635.11</v>
          </cell>
          <cell r="DR3">
            <v>6876.6</v>
          </cell>
          <cell r="DS3">
            <v>7112.67</v>
          </cell>
          <cell r="DT3">
            <v>208.11</v>
          </cell>
          <cell r="DU3">
            <v>417.79</v>
          </cell>
          <cell r="DV3">
            <v>637.84</v>
          </cell>
          <cell r="DW3">
            <v>863.7</v>
          </cell>
          <cell r="DX3">
            <v>1093.93</v>
          </cell>
          <cell r="DY3">
            <v>1332</v>
          </cell>
          <cell r="DZ3">
            <v>1572.73</v>
          </cell>
          <cell r="EA3">
            <v>1814.22</v>
          </cell>
          <cell r="EB3">
            <v>2054.41</v>
          </cell>
          <cell r="EC3">
            <v>2295.81</v>
          </cell>
          <cell r="ED3">
            <v>2537.39</v>
          </cell>
          <cell r="EE3">
            <v>2772.22</v>
          </cell>
          <cell r="EF3">
            <v>3011.89</v>
          </cell>
          <cell r="EG3">
            <v>3254.38</v>
          </cell>
          <cell r="EH3">
            <v>3496.48</v>
          </cell>
          <cell r="EI3">
            <v>3739.16</v>
          </cell>
          <cell r="EJ3">
            <v>3987.35</v>
          </cell>
          <cell r="EK3">
            <v>4235.28</v>
          </cell>
          <cell r="EL3">
            <v>4475.71</v>
          </cell>
          <cell r="EM3">
            <v>4720.57</v>
          </cell>
          <cell r="EN3">
            <v>4968.06</v>
          </cell>
          <cell r="EO3">
            <v>5217.75</v>
          </cell>
          <cell r="EP3">
            <v>5471.38</v>
          </cell>
          <cell r="EQ3">
            <v>5726.65</v>
          </cell>
          <cell r="ER3">
            <v>5979</v>
          </cell>
          <cell r="ES3">
            <v>6226.46</v>
          </cell>
          <cell r="ET3">
            <v>6476.37</v>
          </cell>
          <cell r="EU3">
            <v>6724.6</v>
          </cell>
          <cell r="EV3">
            <v>6970.94</v>
          </cell>
          <cell r="EW3">
            <v>7217.14</v>
          </cell>
          <cell r="EX3">
            <v>7465.16</v>
          </cell>
          <cell r="EY3">
            <v>241.68</v>
          </cell>
          <cell r="EZ3">
            <v>480.58</v>
          </cell>
          <cell r="FA3">
            <v>729.04</v>
          </cell>
          <cell r="FB3">
            <v>978.17</v>
          </cell>
          <cell r="FC3">
            <v>1226.11</v>
          </cell>
          <cell r="FD3">
            <v>1475.01</v>
          </cell>
          <cell r="FE3">
            <v>1724.1</v>
          </cell>
          <cell r="FF3">
            <v>1972.04</v>
          </cell>
          <cell r="FG3">
            <v>2214.48</v>
          </cell>
          <cell r="FH3">
            <v>2446.7</v>
          </cell>
          <cell r="FI3">
            <v>2703.02</v>
          </cell>
          <cell r="FJ3">
            <v>2974.32</v>
          </cell>
          <cell r="FK3">
            <v>3253.87</v>
          </cell>
          <cell r="FL3">
            <v>3535.41</v>
          </cell>
          <cell r="FM3">
            <v>3814.19</v>
          </cell>
          <cell r="FN3">
            <v>4080.72</v>
          </cell>
          <cell r="FO3">
            <v>4353.35</v>
          </cell>
          <cell r="FP3">
            <v>4629.5</v>
          </cell>
          <cell r="FQ3">
            <v>4906.18</v>
          </cell>
          <cell r="FR3">
            <v>5186.83</v>
          </cell>
          <cell r="FS3">
            <v>5467.05</v>
          </cell>
          <cell r="FT3">
            <v>5745.76</v>
          </cell>
          <cell r="FU3">
            <v>6015.71</v>
          </cell>
          <cell r="FV3">
            <v>6289.78</v>
          </cell>
          <cell r="FW3">
            <v>6563.56</v>
          </cell>
          <cell r="FX3">
            <v>6837.26</v>
          </cell>
          <cell r="FY3">
            <v>7110.51</v>
          </cell>
          <cell r="FZ3">
            <v>7386.7</v>
          </cell>
          <cell r="GA3">
            <v>7660.61</v>
          </cell>
          <cell r="GB3">
            <v>7930.7</v>
          </cell>
          <cell r="GC3">
            <v>272.99</v>
          </cell>
          <cell r="GD3">
            <v>543.62</v>
          </cell>
          <cell r="GE3">
            <v>819.34</v>
          </cell>
          <cell r="GF3">
            <v>1102.02</v>
          </cell>
          <cell r="GG3">
            <v>1392.53</v>
          </cell>
          <cell r="GH3">
            <v>1684.2</v>
          </cell>
          <cell r="GI3">
            <v>1973.83</v>
          </cell>
          <cell r="GJ3">
            <v>2272.09</v>
          </cell>
          <cell r="GK3">
            <v>2569.24</v>
          </cell>
          <cell r="GL3">
            <v>2864.33</v>
          </cell>
          <cell r="GM3">
            <v>3156.37</v>
          </cell>
          <cell r="GN3">
            <v>3449.89</v>
          </cell>
          <cell r="GO3">
            <v>3736.15</v>
          </cell>
          <cell r="GP3">
            <v>4014.57</v>
          </cell>
          <cell r="GQ3">
            <v>4305.55</v>
          </cell>
          <cell r="GR3">
            <v>4602.75</v>
          </cell>
          <cell r="GS3">
            <v>4901.53</v>
          </cell>
          <cell r="GT3">
            <v>5204.05</v>
          </cell>
          <cell r="GU3">
            <v>5511.05</v>
          </cell>
          <cell r="GV3">
            <v>5812.35</v>
          </cell>
          <cell r="GW3">
            <v>6116.38</v>
          </cell>
          <cell r="GX3">
            <v>6434.3</v>
          </cell>
          <cell r="GY3">
            <v>6758.94</v>
          </cell>
          <cell r="GZ3">
            <v>7084.23</v>
          </cell>
          <cell r="HA3">
            <v>7398.86</v>
          </cell>
          <cell r="HB3">
            <v>7708.73</v>
          </cell>
          <cell r="HC3">
            <v>8006.54</v>
          </cell>
          <cell r="HD3">
            <v>8293.57</v>
          </cell>
          <cell r="HE3">
            <v>8591.6</v>
          </cell>
          <cell r="HF3">
            <v>8892</v>
          </cell>
          <cell r="HG3">
            <v>9196.49</v>
          </cell>
          <cell r="HH3">
            <v>308.94</v>
          </cell>
          <cell r="HI3">
            <v>625.1</v>
          </cell>
          <cell r="HJ3">
            <v>941.03</v>
          </cell>
          <cell r="HK3">
            <v>1248.45</v>
          </cell>
          <cell r="HL3">
            <v>1563.8</v>
          </cell>
          <cell r="HM3">
            <v>1880.53</v>
          </cell>
          <cell r="HN3">
            <v>2197.21</v>
          </cell>
          <cell r="HO3">
            <v>2515.78</v>
          </cell>
          <cell r="HP3">
            <v>2833.95</v>
          </cell>
          <cell r="HQ3">
            <v>3145.41</v>
          </cell>
          <cell r="HR3">
            <v>3447.58</v>
          </cell>
          <cell r="HS3">
            <v>3757.25</v>
          </cell>
          <cell r="HT3">
            <v>4064.78</v>
          </cell>
          <cell r="HU3">
            <v>4369.45</v>
          </cell>
          <cell r="HV3">
            <v>4671.69</v>
          </cell>
          <cell r="HW3">
            <v>4972.22</v>
          </cell>
          <cell r="HX3">
            <v>5269.11</v>
          </cell>
          <cell r="HY3">
            <v>5555.52</v>
          </cell>
          <cell r="HZ3">
            <v>5848.06</v>
          </cell>
          <cell r="IA3">
            <v>6143.87</v>
          </cell>
          <cell r="IB3">
            <v>6440.51</v>
          </cell>
          <cell r="IC3">
            <v>6745.41</v>
          </cell>
          <cell r="ID3">
            <v>7058.45</v>
          </cell>
          <cell r="IE3">
            <v>7370.46</v>
          </cell>
          <cell r="IF3">
            <v>7675</v>
          </cell>
          <cell r="IG3">
            <v>7981.62</v>
          </cell>
          <cell r="IH3">
            <v>8280.54</v>
          </cell>
          <cell r="II3">
            <v>8574.95</v>
          </cell>
          <cell r="IJ3">
            <v>8870.76</v>
          </cell>
          <cell r="IK3">
            <v>9172.23</v>
          </cell>
          <cell r="IL3">
            <v>9473.35</v>
          </cell>
          <cell r="IM3">
            <v>297.32</v>
          </cell>
          <cell r="IN3">
            <v>598.23</v>
          </cell>
          <cell r="IO3">
            <v>894.56</v>
          </cell>
          <cell r="IP3">
            <v>1196.03</v>
          </cell>
          <cell r="IQ3">
            <v>1497.65</v>
          </cell>
          <cell r="IR3">
            <v>1790.3</v>
          </cell>
          <cell r="IS3">
            <v>2077.09</v>
          </cell>
          <cell r="IT3">
            <v>2361.19</v>
          </cell>
          <cell r="IU3">
            <v>2657.58</v>
          </cell>
          <cell r="IV3">
            <v>2949.58</v>
          </cell>
          <cell r="IW3">
            <v>3234.84</v>
          </cell>
          <cell r="IX3">
            <v>3519.23</v>
          </cell>
          <cell r="IY3">
            <v>3805.78</v>
          </cell>
          <cell r="IZ3">
            <v>4088.58</v>
          </cell>
          <cell r="JA3">
            <v>4358.96</v>
          </cell>
          <cell r="JB3">
            <v>4616.26</v>
          </cell>
          <cell r="JC3">
            <v>4861.95</v>
          </cell>
          <cell r="JD3">
            <v>5135.31</v>
          </cell>
          <cell r="JE3">
            <v>5419.8</v>
          </cell>
          <cell r="JF3">
            <v>5705.39</v>
          </cell>
          <cell r="JG3">
            <v>5971.72</v>
          </cell>
          <cell r="JH3">
            <v>6222.24</v>
          </cell>
          <cell r="JI3">
            <v>6472.16</v>
          </cell>
          <cell r="JJ3">
            <v>6724.32</v>
          </cell>
          <cell r="JK3">
            <v>6981.14</v>
          </cell>
          <cell r="JL3">
            <v>7242.02</v>
          </cell>
          <cell r="JM3">
            <v>7505.61</v>
          </cell>
          <cell r="JN3">
            <v>7769.22</v>
          </cell>
          <cell r="JO3">
            <v>8034.72</v>
          </cell>
          <cell r="JP3">
            <v>8289.57</v>
          </cell>
          <cell r="JQ3">
            <v>218.68</v>
          </cell>
          <cell r="JR3">
            <v>428.52</v>
          </cell>
          <cell r="JS3">
            <v>642.88</v>
          </cell>
          <cell r="JT3">
            <v>866.35</v>
          </cell>
          <cell r="JU3">
            <v>1098.3</v>
          </cell>
          <cell r="JV3">
            <v>1335.4</v>
          </cell>
          <cell r="JW3">
            <v>1577.78</v>
          </cell>
          <cell r="JX3">
            <v>1823.43</v>
          </cell>
          <cell r="JY3">
            <v>2068.26</v>
          </cell>
          <cell r="JZ3">
            <v>2311.65</v>
          </cell>
          <cell r="KA3">
            <v>2557.78</v>
          </cell>
          <cell r="KB3">
            <v>2805.02</v>
          </cell>
          <cell r="KC3">
            <v>3047.56</v>
          </cell>
        </row>
        <row r="4">
          <cell r="C4">
            <v>0.0698</v>
          </cell>
          <cell r="D4">
            <v>0.0963</v>
          </cell>
          <cell r="E4">
            <v>0.1016</v>
          </cell>
          <cell r="F4">
            <v>0.1064</v>
          </cell>
          <cell r="G4">
            <v>0.1104</v>
          </cell>
          <cell r="H4">
            <v>0.1152</v>
          </cell>
          <cell r="I4">
            <v>0.1205</v>
          </cell>
          <cell r="J4">
            <v>0.1322</v>
          </cell>
          <cell r="K4">
            <v>0.1389</v>
          </cell>
          <cell r="L4">
            <v>0.1459</v>
          </cell>
          <cell r="M4">
            <v>0.1511</v>
          </cell>
          <cell r="N4">
            <v>0.1564</v>
          </cell>
          <cell r="O4">
            <v>0.1601</v>
          </cell>
          <cell r="P4">
            <v>0.1608</v>
          </cell>
          <cell r="Q4">
            <v>0.1631</v>
          </cell>
          <cell r="R4">
            <v>0.1658</v>
          </cell>
          <cell r="S4">
            <v>0.1693</v>
          </cell>
          <cell r="T4">
            <v>0.1752</v>
          </cell>
          <cell r="U4">
            <v>0.1839</v>
          </cell>
          <cell r="V4">
            <v>0.1926</v>
          </cell>
          <cell r="W4">
            <v>0.202</v>
          </cell>
          <cell r="X4">
            <v>0.2168</v>
          </cell>
          <cell r="Y4">
            <v>0.2305</v>
          </cell>
          <cell r="Z4">
            <v>0.241</v>
          </cell>
          <cell r="AA4">
            <v>0.2484</v>
          </cell>
          <cell r="AB4">
            <v>0.2538</v>
          </cell>
          <cell r="AC4">
            <v>0.2567</v>
          </cell>
          <cell r="AD4">
            <v>0.2567</v>
          </cell>
          <cell r="AE4">
            <v>0.2563</v>
          </cell>
          <cell r="AF4">
            <v>0.2548</v>
          </cell>
          <cell r="AG4">
            <v>0.2527</v>
          </cell>
          <cell r="AH4">
            <v>0.1476</v>
          </cell>
          <cell r="AI4">
            <v>0.1239</v>
          </cell>
          <cell r="AJ4">
            <v>0.1034</v>
          </cell>
          <cell r="AK4">
            <v>0.0952</v>
          </cell>
          <cell r="AL4">
            <v>0.0943</v>
          </cell>
          <cell r="AM4">
            <v>0.0812</v>
          </cell>
          <cell r="AN4">
            <v>0.0642</v>
          </cell>
          <cell r="AO4">
            <v>0.0439</v>
          </cell>
          <cell r="AP4">
            <v>0.0215</v>
          </cell>
          <cell r="AQ4">
            <v>-0.0046</v>
          </cell>
          <cell r="AR4">
            <v>-0.0267</v>
          </cell>
          <cell r="AS4">
            <v>-0.0442</v>
          </cell>
          <cell r="AT4">
            <v>-0.0631</v>
          </cell>
          <cell r="AU4">
            <v>-0.0791</v>
          </cell>
          <cell r="AV4">
            <v>-0.0906</v>
          </cell>
          <cell r="AW4">
            <v>-0.0992</v>
          </cell>
          <cell r="AX4">
            <v>-0.1053</v>
          </cell>
          <cell r="AY4">
            <v>-0.1074</v>
          </cell>
          <cell r="AZ4">
            <v>-0.1056</v>
          </cell>
          <cell r="BA4">
            <v>-0.1021</v>
          </cell>
          <cell r="BB4">
            <v>-0.0975</v>
          </cell>
          <cell r="BC4">
            <v>-0.0919</v>
          </cell>
          <cell r="BD4">
            <v>-0.0858</v>
          </cell>
          <cell r="BE4">
            <v>-0.0812</v>
          </cell>
          <cell r="BF4">
            <v>-0.0762</v>
          </cell>
          <cell r="BG4">
            <v>-0.0692</v>
          </cell>
          <cell r="BH4">
            <v>-0.0635</v>
          </cell>
          <cell r="BI4">
            <v>-0.0576</v>
          </cell>
          <cell r="BJ4">
            <v>-0.0519</v>
          </cell>
          <cell r="BK4">
            <v>0.1288</v>
          </cell>
          <cell r="BL4">
            <v>0.1092</v>
          </cell>
          <cell r="BM4">
            <v>0.0911</v>
          </cell>
          <cell r="BN4">
            <v>0.0955</v>
          </cell>
          <cell r="BO4">
            <v>0.1067</v>
          </cell>
          <cell r="BP4">
            <v>0.1106</v>
          </cell>
          <cell r="BQ4">
            <v>0.1113</v>
          </cell>
          <cell r="BR4">
            <v>0.1109</v>
          </cell>
          <cell r="BS4">
            <v>0.1092</v>
          </cell>
          <cell r="BT4">
            <v>0.105</v>
          </cell>
          <cell r="BU4">
            <v>0.1028</v>
          </cell>
          <cell r="BV4">
            <v>0.1022</v>
          </cell>
          <cell r="BW4">
            <v>0.1003</v>
          </cell>
          <cell r="BX4">
            <v>0.0983</v>
          </cell>
          <cell r="BY4">
            <v>0.0954</v>
          </cell>
          <cell r="BZ4">
            <v>0.0908</v>
          </cell>
          <cell r="CA4">
            <v>0.0847</v>
          </cell>
          <cell r="CB4">
            <v>0.0822</v>
          </cell>
          <cell r="CC4">
            <v>0.0814</v>
          </cell>
          <cell r="CD4">
            <v>0.0788</v>
          </cell>
          <cell r="CE4">
            <v>0.0765</v>
          </cell>
          <cell r="CF4">
            <v>0.0742</v>
          </cell>
          <cell r="CG4">
            <v>0.0714</v>
          </cell>
          <cell r="CH4">
            <v>0.068</v>
          </cell>
          <cell r="CI4">
            <v>0.0667</v>
          </cell>
          <cell r="CJ4">
            <v>0.0671</v>
          </cell>
          <cell r="CK4">
            <v>0.067</v>
          </cell>
          <cell r="CL4">
            <v>0.0665</v>
          </cell>
          <cell r="CM4">
            <v>0.0661</v>
          </cell>
          <cell r="CN4">
            <v>0.0655</v>
          </cell>
          <cell r="CO4">
            <v>0.0645</v>
          </cell>
          <cell r="CP4">
            <v>0.0762</v>
          </cell>
          <cell r="CQ4">
            <v>0.0888</v>
          </cell>
          <cell r="CR4">
            <v>0.086</v>
          </cell>
          <cell r="CS4">
            <v>0.0601</v>
          </cell>
          <cell r="CT4">
            <v>0.0628</v>
          </cell>
          <cell r="CU4">
            <v>0.0608</v>
          </cell>
          <cell r="CV4">
            <v>0.0596</v>
          </cell>
          <cell r="CW4">
            <v>0.0614</v>
          </cell>
          <cell r="CX4">
            <v>0.0648</v>
          </cell>
          <cell r="CY4">
            <v>0.0655</v>
          </cell>
          <cell r="CZ4">
            <v>0.065</v>
          </cell>
          <cell r="DA4">
            <v>0.0653</v>
          </cell>
          <cell r="DB4">
            <v>0.0649</v>
          </cell>
          <cell r="DC4">
            <v>0.0626</v>
          </cell>
          <cell r="DD4">
            <v>0.064</v>
          </cell>
          <cell r="DE4">
            <v>0.0672</v>
          </cell>
          <cell r="DF4">
            <v>0.0676</v>
          </cell>
          <cell r="DG4">
            <v>0.0667</v>
          </cell>
          <cell r="DH4">
            <v>0.0658</v>
          </cell>
          <cell r="DI4">
            <v>0.0647</v>
          </cell>
          <cell r="DJ4">
            <v>0.0624</v>
          </cell>
          <cell r="DK4">
            <v>0.0624</v>
          </cell>
          <cell r="DL4">
            <v>0.0627</v>
          </cell>
          <cell r="DM4">
            <v>0.0624</v>
          </cell>
          <cell r="DN4">
            <v>0.0626</v>
          </cell>
          <cell r="DO4">
            <v>0.0637</v>
          </cell>
          <cell r="DP4">
            <v>0.0644</v>
          </cell>
          <cell r="DQ4">
            <v>0.0647</v>
          </cell>
          <cell r="DR4">
            <v>0.0665</v>
          </cell>
          <cell r="DS4">
            <v>0.0691</v>
          </cell>
          <cell r="DT4">
            <v>0.0987</v>
          </cell>
          <cell r="DU4">
            <v>0.0827</v>
          </cell>
          <cell r="DV4">
            <v>0.0709</v>
          </cell>
          <cell r="DW4">
            <v>0.0556</v>
          </cell>
          <cell r="DX4">
            <v>0.0478</v>
          </cell>
          <cell r="DY4">
            <v>0.0488</v>
          </cell>
          <cell r="DZ4">
            <v>0.0564</v>
          </cell>
          <cell r="EA4">
            <v>0.0613</v>
          </cell>
          <cell r="EB4">
            <v>0.0637</v>
          </cell>
          <cell r="EC4">
            <v>0.0656</v>
          </cell>
          <cell r="ED4">
            <v>0.0677</v>
          </cell>
          <cell r="EE4">
            <v>0.0666</v>
          </cell>
          <cell r="EF4">
            <v>0.0681</v>
          </cell>
          <cell r="EG4">
            <v>0.0719</v>
          </cell>
          <cell r="EH4">
            <v>0.0719</v>
          </cell>
          <cell r="EI4">
            <v>0.0706</v>
          </cell>
          <cell r="EJ4">
            <v>0.0704</v>
          </cell>
          <cell r="EK4">
            <v>0.0696</v>
          </cell>
          <cell r="EL4">
            <v>0.0669</v>
          </cell>
          <cell r="EM4">
            <v>0.0661</v>
          </cell>
          <cell r="EN4">
            <v>0.0676</v>
          </cell>
          <cell r="EO4">
            <v>0.0684</v>
          </cell>
          <cell r="EP4">
            <v>0.0703</v>
          </cell>
          <cell r="EQ4">
            <v>0.0727</v>
          </cell>
          <cell r="ER4">
            <v>0.0741</v>
          </cell>
          <cell r="ES4">
            <v>0.0737</v>
          </cell>
          <cell r="ET4">
            <v>0.0739</v>
          </cell>
          <cell r="EU4">
            <v>0.074</v>
          </cell>
          <cell r="EV4">
            <v>0.0721</v>
          </cell>
          <cell r="EW4">
            <v>0.0696</v>
          </cell>
          <cell r="EX4">
            <v>0.0675</v>
          </cell>
          <cell r="EY4">
            <v>-0.0029</v>
          </cell>
          <cell r="EZ4">
            <v>-0.0152</v>
          </cell>
          <cell r="FA4">
            <v>0</v>
          </cell>
          <cell r="FB4">
            <v>0.0169</v>
          </cell>
          <cell r="FC4">
            <v>0.0209</v>
          </cell>
          <cell r="FD4">
            <v>0.0234</v>
          </cell>
          <cell r="FE4">
            <v>0.0243</v>
          </cell>
          <cell r="FF4">
            <v>0.0232</v>
          </cell>
          <cell r="FG4">
            <v>0.0176</v>
          </cell>
          <cell r="FH4">
            <v>0.0091</v>
          </cell>
          <cell r="FI4">
            <v>0.0135</v>
          </cell>
          <cell r="FJ4">
            <v>0.0193</v>
          </cell>
          <cell r="FK4">
            <v>0.0261</v>
          </cell>
          <cell r="FL4">
            <v>0.0325</v>
          </cell>
          <cell r="FM4">
            <v>0.0368</v>
          </cell>
          <cell r="FN4">
            <v>0.0377</v>
          </cell>
          <cell r="FO4">
            <v>0.0416</v>
          </cell>
          <cell r="FP4">
            <v>0.0469</v>
          </cell>
          <cell r="FQ4">
            <v>0.05</v>
          </cell>
          <cell r="FR4">
            <v>0.0522</v>
          </cell>
          <cell r="FS4">
            <v>0.0537</v>
          </cell>
          <cell r="FT4">
            <v>0.0591</v>
          </cell>
          <cell r="FU4">
            <v>0.0616</v>
          </cell>
          <cell r="FV4">
            <v>0.0635</v>
          </cell>
          <cell r="FW4">
            <v>0.0643</v>
          </cell>
          <cell r="FX4">
            <v>0.0642</v>
          </cell>
          <cell r="FY4">
            <v>0.0626</v>
          </cell>
          <cell r="FZ4">
            <v>0.0608</v>
          </cell>
          <cell r="GA4">
            <v>0.0589</v>
          </cell>
          <cell r="GB4">
            <v>0.0569</v>
          </cell>
          <cell r="GC4">
            <v>0.0213</v>
          </cell>
          <cell r="GD4">
            <v>0.0195</v>
          </cell>
          <cell r="GE4">
            <v>0.0151</v>
          </cell>
          <cell r="GF4">
            <v>0.0235</v>
          </cell>
          <cell r="GG4">
            <v>0.0318</v>
          </cell>
          <cell r="GH4">
            <v>0.0317</v>
          </cell>
          <cell r="GI4">
            <v>0.0282</v>
          </cell>
          <cell r="GJ4">
            <v>0.0299</v>
          </cell>
          <cell r="GK4">
            <v>0.0319</v>
          </cell>
          <cell r="GL4">
            <v>0.0279</v>
          </cell>
          <cell r="GM4">
            <v>0.022</v>
          </cell>
          <cell r="GN4">
            <v>0.0187</v>
          </cell>
          <cell r="GO4">
            <v>0.0157</v>
          </cell>
          <cell r="GP4">
            <v>0.0118</v>
          </cell>
          <cell r="GQ4">
            <v>0.0126</v>
          </cell>
          <cell r="GR4">
            <v>0.0174</v>
          </cell>
          <cell r="GS4">
            <v>0.0206</v>
          </cell>
          <cell r="GT4">
            <v>0.0237</v>
          </cell>
          <cell r="GU4">
            <v>0.0272</v>
          </cell>
          <cell r="GV4">
            <v>0.0293</v>
          </cell>
          <cell r="GW4">
            <v>0.032</v>
          </cell>
          <cell r="GX4">
            <v>0.0375</v>
          </cell>
          <cell r="GY4">
            <v>0.0436</v>
          </cell>
          <cell r="GZ4">
            <v>0.0471</v>
          </cell>
          <cell r="HA4">
            <v>0.0489</v>
          </cell>
          <cell r="HB4">
            <v>0.0498</v>
          </cell>
          <cell r="HC4">
            <v>0.0494</v>
          </cell>
          <cell r="HD4">
            <v>0.0487</v>
          </cell>
          <cell r="HE4">
            <v>0.0507</v>
          </cell>
          <cell r="HF4">
            <v>0.0539</v>
          </cell>
          <cell r="HG4">
            <v>0.0559</v>
          </cell>
          <cell r="HH4">
            <v>0.1246</v>
          </cell>
          <cell r="HI4">
            <v>0.123</v>
          </cell>
          <cell r="HJ4">
            <v>0.1099</v>
          </cell>
          <cell r="HK4">
            <v>0.0877</v>
          </cell>
          <cell r="HL4">
            <v>0.0837</v>
          </cell>
          <cell r="HM4">
            <v>0.0901</v>
          </cell>
          <cell r="HN4">
            <v>0.092</v>
          </cell>
          <cell r="HO4">
            <v>0.093</v>
          </cell>
          <cell r="HP4">
            <v>0.0923</v>
          </cell>
          <cell r="HQ4">
            <v>0.089</v>
          </cell>
          <cell r="HR4">
            <v>0.0836</v>
          </cell>
          <cell r="HS4">
            <v>0.0837</v>
          </cell>
          <cell r="HT4">
            <v>0.0855</v>
          </cell>
          <cell r="HU4">
            <v>0.0832</v>
          </cell>
          <cell r="HV4">
            <v>0.0803</v>
          </cell>
          <cell r="HW4">
            <v>0.0761</v>
          </cell>
          <cell r="HX4">
            <v>0.0715</v>
          </cell>
          <cell r="HY4">
            <v>0.0659</v>
          </cell>
          <cell r="HZ4">
            <v>0.0633</v>
          </cell>
          <cell r="IA4">
            <v>0.0636</v>
          </cell>
          <cell r="IB4">
            <v>0.0632</v>
          </cell>
          <cell r="IC4">
            <v>0.064</v>
          </cell>
          <cell r="ID4">
            <v>0.0664</v>
          </cell>
          <cell r="IE4">
            <v>0.0693</v>
          </cell>
          <cell r="IF4">
            <v>0.0711</v>
          </cell>
          <cell r="IG4">
            <v>0.0744</v>
          </cell>
          <cell r="IH4">
            <v>0.0781</v>
          </cell>
          <cell r="II4">
            <v>0.0806</v>
          </cell>
          <cell r="IJ4">
            <v>0.0838</v>
          </cell>
          <cell r="IK4">
            <v>0.0877</v>
          </cell>
          <cell r="IL4">
            <v>0.0911</v>
          </cell>
          <cell r="IM4">
            <v>0.1996</v>
          </cell>
          <cell r="IN4">
            <v>0.2118</v>
          </cell>
          <cell r="IO4">
            <v>0.2078</v>
          </cell>
          <cell r="IP4">
            <v>0.1927</v>
          </cell>
          <cell r="IQ4">
            <v>0.1798</v>
          </cell>
          <cell r="IR4">
            <v>0.1634</v>
          </cell>
          <cell r="IS4">
            <v>0.1485</v>
          </cell>
          <cell r="IT4">
            <v>0.1366</v>
          </cell>
          <cell r="IU4">
            <v>0.1351</v>
          </cell>
          <cell r="IV4">
            <v>0.1356</v>
          </cell>
          <cell r="IW4">
            <v>0.1313</v>
          </cell>
          <cell r="IX4">
            <v>0.1293</v>
          </cell>
          <cell r="IY4">
            <v>0.1297</v>
          </cell>
          <cell r="IZ4">
            <v>0.1294</v>
          </cell>
          <cell r="JA4">
            <v>0.1257</v>
          </cell>
          <cell r="JB4">
            <v>0.1196</v>
          </cell>
          <cell r="JC4">
            <v>0.1117</v>
          </cell>
          <cell r="JD4">
            <v>0.1074</v>
          </cell>
          <cell r="JE4">
            <v>0.1052</v>
          </cell>
          <cell r="JF4">
            <v>0.1048</v>
          </cell>
          <cell r="JG4">
            <v>0.1023</v>
          </cell>
          <cell r="JH4">
            <v>0.0977</v>
          </cell>
          <cell r="JI4">
            <v>0.0942</v>
          </cell>
          <cell r="JJ4">
            <v>0.092</v>
          </cell>
          <cell r="JK4">
            <v>0.0895</v>
          </cell>
          <cell r="JL4">
            <v>0.0875</v>
          </cell>
          <cell r="JM4">
            <v>0.086</v>
          </cell>
          <cell r="JN4">
            <v>0.0855</v>
          </cell>
          <cell r="JO4">
            <v>0.0892</v>
          </cell>
          <cell r="JP4">
            <v>0.092</v>
          </cell>
          <cell r="JQ4">
            <v>0.0513</v>
          </cell>
          <cell r="JR4">
            <v>0.0206</v>
          </cell>
          <cell r="JS4">
            <v>0.0062</v>
          </cell>
          <cell r="JT4">
            <v>-0.0027</v>
          </cell>
          <cell r="JU4">
            <v>-0.003</v>
          </cell>
          <cell r="JV4">
            <v>0.0002</v>
          </cell>
          <cell r="JW4">
            <v>0.0062</v>
          </cell>
          <cell r="JX4">
            <v>0.0142</v>
          </cell>
          <cell r="JY4">
            <v>0.0191</v>
          </cell>
          <cell r="JZ4">
            <v>0.0218</v>
          </cell>
          <cell r="KA4">
            <v>0.0249</v>
          </cell>
          <cell r="KB4">
            <v>0.0275</v>
          </cell>
          <cell r="KC4">
            <v>0.0276</v>
          </cell>
        </row>
        <row r="6">
          <cell r="C6">
            <v>242.48</v>
          </cell>
          <cell r="D6">
            <v>505.09</v>
          </cell>
          <cell r="E6">
            <v>773.94</v>
          </cell>
          <cell r="F6">
            <v>1044.36</v>
          </cell>
          <cell r="G6">
            <v>1312.85</v>
          </cell>
          <cell r="H6">
            <v>1578.42</v>
          </cell>
          <cell r="I6">
            <v>1841.73</v>
          </cell>
          <cell r="J6">
            <v>2113.7</v>
          </cell>
          <cell r="K6">
            <v>2383.53</v>
          </cell>
          <cell r="L6">
            <v>2655.16</v>
          </cell>
          <cell r="M6">
            <v>2926.02</v>
          </cell>
          <cell r="N6">
            <v>3190.05</v>
          </cell>
          <cell r="O6">
            <v>3450.92</v>
          </cell>
          <cell r="P6">
            <v>3706.65</v>
          </cell>
          <cell r="Q6">
            <v>3972.79</v>
          </cell>
          <cell r="R6">
            <v>4243.49</v>
          </cell>
          <cell r="S6">
            <v>4512.08</v>
          </cell>
          <cell r="T6">
            <v>4782.52</v>
          </cell>
          <cell r="U6">
            <v>5055.75</v>
          </cell>
          <cell r="V6">
            <v>5327.62</v>
          </cell>
          <cell r="W6">
            <v>5599.25</v>
          </cell>
          <cell r="X6">
            <v>5887.35</v>
          </cell>
          <cell r="Y6">
            <v>6179.52</v>
          </cell>
          <cell r="Z6">
            <v>6469.96</v>
          </cell>
          <cell r="AA6">
            <v>6753.68</v>
          </cell>
          <cell r="AB6">
            <v>7031.86</v>
          </cell>
          <cell r="AC6">
            <v>7301.56</v>
          </cell>
          <cell r="AD6">
            <v>7563.26</v>
          </cell>
          <cell r="AE6">
            <v>7825.81</v>
          </cell>
          <cell r="AF6">
            <v>8082.61</v>
          </cell>
          <cell r="AG6">
            <v>8334.18</v>
          </cell>
          <cell r="AH6">
            <v>8585.53</v>
          </cell>
          <cell r="AI6">
            <v>8836.5</v>
          </cell>
          <cell r="AJ6">
            <v>9081.55</v>
          </cell>
          <cell r="AK6">
            <v>9325.34</v>
          </cell>
          <cell r="AL6">
            <v>9565.4</v>
          </cell>
          <cell r="AM6">
            <v>9800.2</v>
          </cell>
          <cell r="AN6">
            <v>10028.07</v>
          </cell>
          <cell r="AO6">
            <v>10246.3</v>
          </cell>
          <cell r="AP6">
            <v>10453.68</v>
          </cell>
          <cell r="AQ6">
            <v>10643.43</v>
          </cell>
          <cell r="AR6">
            <v>10827.07</v>
          </cell>
          <cell r="AS6">
            <v>11008.61</v>
          </cell>
          <cell r="AT6">
            <v>11188.38</v>
          </cell>
          <cell r="AU6">
            <v>11370.07</v>
          </cell>
          <cell r="AV6">
            <v>11559.26</v>
          </cell>
          <cell r="AW6">
            <v>11752.81</v>
          </cell>
          <cell r="AX6">
            <v>11950.89</v>
          </cell>
          <cell r="AY6">
            <v>12157.47</v>
          </cell>
          <cell r="AZ6">
            <v>12376.03</v>
          </cell>
          <cell r="BA6">
            <v>12609.14</v>
          </cell>
          <cell r="BB6">
            <v>12854.46</v>
          </cell>
          <cell r="BC6">
            <v>13109.99</v>
          </cell>
          <cell r="BD6">
            <v>13370.99</v>
          </cell>
          <cell r="BE6">
            <v>13625.8</v>
          </cell>
          <cell r="BF6">
            <v>13879.84</v>
          </cell>
          <cell r="BG6">
            <v>14141.88</v>
          </cell>
          <cell r="BH6">
            <v>14403.24</v>
          </cell>
          <cell r="BI6">
            <v>14666.84</v>
          </cell>
          <cell r="BJ6">
            <v>14932.8</v>
          </cell>
          <cell r="BK6">
            <v>15200</v>
          </cell>
          <cell r="BL6">
            <v>15459.83</v>
          </cell>
          <cell r="BM6">
            <v>15711.47</v>
          </cell>
          <cell r="BN6">
            <v>15970.26</v>
          </cell>
          <cell r="BO6">
            <v>16231.4</v>
          </cell>
          <cell r="BP6">
            <v>16491.29</v>
          </cell>
          <cell r="BQ6">
            <v>16748.63</v>
          </cell>
          <cell r="BR6">
            <v>17003.3</v>
          </cell>
          <cell r="BS6">
            <v>17254.31</v>
          </cell>
          <cell r="BT6">
            <v>17499.01</v>
          </cell>
          <cell r="BU6">
            <v>17745.3</v>
          </cell>
          <cell r="BV6">
            <v>17991.76</v>
          </cell>
          <cell r="BW6">
            <v>18239.36</v>
          </cell>
          <cell r="BX6">
            <v>18486.87</v>
          </cell>
          <cell r="BY6">
            <v>18731.7</v>
          </cell>
          <cell r="BZ6">
            <v>18972.11</v>
          </cell>
          <cell r="CA6">
            <v>19208.57</v>
          </cell>
          <cell r="CB6">
            <v>19453.34</v>
          </cell>
          <cell r="CC6">
            <v>19697.63</v>
          </cell>
          <cell r="CD6">
            <v>19938.82</v>
          </cell>
          <cell r="CE6">
            <v>20180.84</v>
          </cell>
          <cell r="CF6">
            <v>20422.6</v>
          </cell>
          <cell r="CG6">
            <v>20661.86</v>
          </cell>
          <cell r="CH6">
            <v>20897.1</v>
          </cell>
          <cell r="CI6">
            <v>21138.83</v>
          </cell>
          <cell r="CJ6">
            <v>21381.23</v>
          </cell>
          <cell r="CK6">
            <v>21625.5</v>
          </cell>
          <cell r="CL6">
            <v>21867.86</v>
          </cell>
          <cell r="CM6">
            <v>22109.51</v>
          </cell>
          <cell r="CN6">
            <v>22348.11</v>
          </cell>
          <cell r="CO6">
            <v>22581.45</v>
          </cell>
          <cell r="CP6">
            <v>22818.7</v>
          </cell>
          <cell r="CQ6">
            <v>23058.14</v>
          </cell>
          <cell r="CR6">
            <v>23297.57</v>
          </cell>
          <cell r="CS6">
            <v>23515.11</v>
          </cell>
          <cell r="CT6">
            <v>23737.79</v>
          </cell>
          <cell r="CU6">
            <v>23969.35</v>
          </cell>
          <cell r="CV6">
            <v>24205.38</v>
          </cell>
          <cell r="CW6">
            <v>24443.04</v>
          </cell>
          <cell r="CX6">
            <v>24680.03</v>
          </cell>
          <cell r="CY6">
            <v>24917.18</v>
          </cell>
          <cell r="CZ6">
            <v>25155.29</v>
          </cell>
          <cell r="DA6">
            <v>25394.76</v>
          </cell>
          <cell r="DB6">
            <v>25633.12</v>
          </cell>
          <cell r="DC6">
            <v>25866.48</v>
          </cell>
          <cell r="DD6">
            <v>26106.99</v>
          </cell>
          <cell r="DE6">
            <v>26348.07</v>
          </cell>
          <cell r="DF6">
            <v>26590.3</v>
          </cell>
          <cell r="DG6">
            <v>26831.37</v>
          </cell>
          <cell r="DH6">
            <v>27070.85</v>
          </cell>
          <cell r="DI6">
            <v>27308.16</v>
          </cell>
          <cell r="DJ6">
            <v>27538.77</v>
          </cell>
          <cell r="DK6">
            <v>27775.27</v>
          </cell>
          <cell r="DL6">
            <v>28013.37</v>
          </cell>
          <cell r="DM6">
            <v>28252.25</v>
          </cell>
          <cell r="DN6">
            <v>28491.94</v>
          </cell>
          <cell r="DO6">
            <v>28733.97</v>
          </cell>
          <cell r="DP6">
            <v>28975.76</v>
          </cell>
          <cell r="DQ6">
            <v>29216.56</v>
          </cell>
          <cell r="DR6">
            <v>29458.05</v>
          </cell>
          <cell r="DS6">
            <v>29694.12</v>
          </cell>
          <cell r="DT6">
            <v>29902.22</v>
          </cell>
          <cell r="DU6">
            <v>30111.91</v>
          </cell>
          <cell r="DV6">
            <v>30331.96</v>
          </cell>
          <cell r="DW6">
            <v>30557.82</v>
          </cell>
          <cell r="DX6">
            <v>30788.04</v>
          </cell>
          <cell r="DY6">
            <v>31026.11</v>
          </cell>
          <cell r="DZ6">
            <v>31266.84</v>
          </cell>
          <cell r="EA6">
            <v>31508.34</v>
          </cell>
          <cell r="EB6">
            <v>31748.52</v>
          </cell>
          <cell r="EC6">
            <v>31989.93</v>
          </cell>
          <cell r="ED6">
            <v>32231.51</v>
          </cell>
          <cell r="EE6">
            <v>32466.34</v>
          </cell>
          <cell r="EF6">
            <v>32706.01</v>
          </cell>
          <cell r="EG6">
            <v>32948.5</v>
          </cell>
          <cell r="EH6">
            <v>33190.6</v>
          </cell>
          <cell r="EI6">
            <v>33433.27</v>
          </cell>
          <cell r="EJ6">
            <v>33681.47</v>
          </cell>
          <cell r="EK6">
            <v>33929.4</v>
          </cell>
          <cell r="EL6">
            <v>34169.82</v>
          </cell>
          <cell r="EM6">
            <v>34414.68</v>
          </cell>
          <cell r="EN6">
            <v>34662.17</v>
          </cell>
          <cell r="EO6">
            <v>34911.87</v>
          </cell>
          <cell r="EP6">
            <v>35165.5</v>
          </cell>
          <cell r="EQ6">
            <v>35420.76</v>
          </cell>
          <cell r="ER6">
            <v>35673.12</v>
          </cell>
          <cell r="ES6">
            <v>35920.58</v>
          </cell>
          <cell r="ET6">
            <v>36170.49</v>
          </cell>
          <cell r="EU6">
            <v>36418.71</v>
          </cell>
          <cell r="EV6">
            <v>36665.05</v>
          </cell>
          <cell r="EW6">
            <v>36911.26</v>
          </cell>
          <cell r="EX6">
            <v>37159.27</v>
          </cell>
          <cell r="EY6">
            <v>37400.96</v>
          </cell>
          <cell r="EZ6">
            <v>37639.85</v>
          </cell>
          <cell r="FA6">
            <v>37888.31</v>
          </cell>
          <cell r="FB6">
            <v>38137.44</v>
          </cell>
          <cell r="FC6">
            <v>38385.38</v>
          </cell>
          <cell r="FD6">
            <v>38634.28</v>
          </cell>
          <cell r="FE6">
            <v>38883.37</v>
          </cell>
          <cell r="FF6">
            <v>39131.31</v>
          </cell>
          <cell r="FG6">
            <v>39373.75</v>
          </cell>
          <cell r="FH6">
            <v>39605.97</v>
          </cell>
          <cell r="FI6">
            <v>39862.3</v>
          </cell>
          <cell r="FJ6">
            <v>40133.59</v>
          </cell>
          <cell r="FK6">
            <v>40413.15</v>
          </cell>
          <cell r="FL6">
            <v>40694.69</v>
          </cell>
          <cell r="FM6">
            <v>40973.46</v>
          </cell>
          <cell r="FN6">
            <v>41240</v>
          </cell>
          <cell r="FO6">
            <v>41512.63</v>
          </cell>
          <cell r="FP6">
            <v>41788.78</v>
          </cell>
          <cell r="FQ6">
            <v>42065.46</v>
          </cell>
          <cell r="FR6">
            <v>42346.1</v>
          </cell>
          <cell r="FS6">
            <v>42626.32</v>
          </cell>
          <cell r="FT6">
            <v>42905.04</v>
          </cell>
          <cell r="FU6">
            <v>43174.98</v>
          </cell>
          <cell r="FV6">
            <v>43449.06</v>
          </cell>
          <cell r="FW6">
            <v>43722.83</v>
          </cell>
          <cell r="FX6">
            <v>43996.53</v>
          </cell>
          <cell r="FY6">
            <v>44269.78</v>
          </cell>
          <cell r="FZ6">
            <v>44545.97</v>
          </cell>
          <cell r="GA6">
            <v>44819.88</v>
          </cell>
          <cell r="GB6">
            <v>45089.97</v>
          </cell>
          <cell r="GC6">
            <v>45362.95</v>
          </cell>
          <cell r="GD6">
            <v>45633.59</v>
          </cell>
          <cell r="GE6">
            <v>45909.31</v>
          </cell>
          <cell r="GF6">
            <v>46191.98</v>
          </cell>
          <cell r="GG6">
            <v>46482.5</v>
          </cell>
          <cell r="GH6">
            <v>46774.17</v>
          </cell>
          <cell r="GI6">
            <v>47063.8</v>
          </cell>
          <cell r="GJ6">
            <v>47362.06</v>
          </cell>
          <cell r="GK6">
            <v>47659.21</v>
          </cell>
          <cell r="GL6">
            <v>47954.3</v>
          </cell>
          <cell r="GM6">
            <v>48246.34</v>
          </cell>
          <cell r="GN6">
            <v>48539.86</v>
          </cell>
          <cell r="GO6">
            <v>48826.12</v>
          </cell>
          <cell r="GP6">
            <v>49104.54</v>
          </cell>
          <cell r="GQ6">
            <v>49395.51</v>
          </cell>
          <cell r="GR6">
            <v>49692.72</v>
          </cell>
          <cell r="GS6">
            <v>49991.5</v>
          </cell>
          <cell r="GT6">
            <v>50294.02</v>
          </cell>
          <cell r="GU6">
            <v>50601.02</v>
          </cell>
          <cell r="GV6">
            <v>50902.32</v>
          </cell>
          <cell r="GW6">
            <v>51206.35</v>
          </cell>
          <cell r="GX6">
            <v>51524.27</v>
          </cell>
          <cell r="GY6">
            <v>51848.91</v>
          </cell>
          <cell r="GZ6">
            <v>52174.19</v>
          </cell>
          <cell r="HA6">
            <v>52488.83</v>
          </cell>
          <cell r="HB6">
            <v>52798.7</v>
          </cell>
          <cell r="HC6">
            <v>53096.51</v>
          </cell>
          <cell r="HD6">
            <v>53383.54</v>
          </cell>
          <cell r="HE6">
            <v>53681.57</v>
          </cell>
          <cell r="HF6">
            <v>53981.97</v>
          </cell>
          <cell r="HG6">
            <v>54286.46</v>
          </cell>
          <cell r="HH6">
            <v>54595.4</v>
          </cell>
          <cell r="HI6">
            <v>54911.56</v>
          </cell>
          <cell r="HJ6">
            <v>55227.5</v>
          </cell>
          <cell r="HK6">
            <v>55534.91</v>
          </cell>
          <cell r="HL6">
            <v>55850.27</v>
          </cell>
          <cell r="HM6">
            <v>56166.99</v>
          </cell>
          <cell r="HN6">
            <v>56483.67</v>
          </cell>
          <cell r="HO6">
            <v>56802.24</v>
          </cell>
          <cell r="HP6">
            <v>57120.41</v>
          </cell>
          <cell r="HQ6">
            <v>57431.87</v>
          </cell>
          <cell r="HR6">
            <v>57734.05</v>
          </cell>
          <cell r="HS6">
            <v>58043.71</v>
          </cell>
          <cell r="HT6">
            <v>58351.25</v>
          </cell>
          <cell r="HU6">
            <v>58655.92</v>
          </cell>
          <cell r="HV6">
            <v>58958.16</v>
          </cell>
          <cell r="HW6">
            <v>59258.68</v>
          </cell>
          <cell r="HX6">
            <v>59555.57</v>
          </cell>
          <cell r="HY6">
            <v>59841.99</v>
          </cell>
          <cell r="HZ6">
            <v>60134.53</v>
          </cell>
          <cell r="IA6">
            <v>60430.34</v>
          </cell>
          <cell r="IB6">
            <v>60726.97</v>
          </cell>
          <cell r="IC6">
            <v>61031.87</v>
          </cell>
          <cell r="ID6">
            <v>61344.91</v>
          </cell>
          <cell r="IE6">
            <v>61656.93</v>
          </cell>
          <cell r="IF6">
            <v>61961.47</v>
          </cell>
          <cell r="IG6">
            <v>62268.08</v>
          </cell>
          <cell r="IH6">
            <v>62567</v>
          </cell>
          <cell r="II6">
            <v>62861.41</v>
          </cell>
          <cell r="IJ6">
            <v>63157.22</v>
          </cell>
          <cell r="IK6">
            <v>63458.7</v>
          </cell>
          <cell r="IL6">
            <v>63759.81</v>
          </cell>
          <cell r="IM6">
            <v>64057.13</v>
          </cell>
          <cell r="IN6">
            <v>64358.05</v>
          </cell>
          <cell r="IO6">
            <v>64654.38</v>
          </cell>
          <cell r="IP6">
            <v>64955.84</v>
          </cell>
          <cell r="IQ6">
            <v>65257.47</v>
          </cell>
          <cell r="IR6">
            <v>65550.12</v>
          </cell>
          <cell r="IS6">
            <v>65836.91</v>
          </cell>
          <cell r="IT6">
            <v>66121</v>
          </cell>
          <cell r="IU6">
            <v>66417.39</v>
          </cell>
          <cell r="IV6">
            <v>66709.39</v>
          </cell>
          <cell r="IW6">
            <v>66994.65</v>
          </cell>
          <cell r="IX6">
            <v>67279.06</v>
          </cell>
          <cell r="IY6">
            <v>67565.6</v>
          </cell>
          <cell r="IZ6">
            <v>67848.4</v>
          </cell>
          <cell r="JA6">
            <v>68118.77</v>
          </cell>
          <cell r="JB6">
            <v>68376.07</v>
          </cell>
          <cell r="JC6">
            <v>68621.76</v>
          </cell>
          <cell r="JD6">
            <v>68895.13</v>
          </cell>
          <cell r="JE6">
            <v>69179.61</v>
          </cell>
          <cell r="JF6">
            <v>69465.2</v>
          </cell>
          <cell r="JG6">
            <v>69731.54</v>
          </cell>
          <cell r="JH6">
            <v>69982.05</v>
          </cell>
          <cell r="JI6">
            <v>70231.97</v>
          </cell>
          <cell r="JJ6">
            <v>70484.14</v>
          </cell>
          <cell r="JK6">
            <v>70740.96</v>
          </cell>
          <cell r="JL6">
            <v>71001.83</v>
          </cell>
          <cell r="JM6">
            <v>71265.42</v>
          </cell>
          <cell r="JN6">
            <v>71529.03</v>
          </cell>
          <cell r="JO6">
            <v>71794.53</v>
          </cell>
          <cell r="JP6">
            <v>72049.38</v>
          </cell>
          <cell r="JQ6">
            <v>72268.06</v>
          </cell>
          <cell r="JR6">
            <v>72477.9</v>
          </cell>
          <cell r="JS6">
            <v>72692.26</v>
          </cell>
          <cell r="JT6">
            <v>72915.73</v>
          </cell>
          <cell r="JU6">
            <v>73147.69</v>
          </cell>
          <cell r="JV6">
            <v>73384.79</v>
          </cell>
          <cell r="JW6">
            <v>73627.16</v>
          </cell>
          <cell r="JX6">
            <v>73872.81</v>
          </cell>
          <cell r="JY6">
            <v>74117.64</v>
          </cell>
          <cell r="JZ6">
            <v>74361.04</v>
          </cell>
          <cell r="KA6">
            <v>74607.16</v>
          </cell>
          <cell r="KB6">
            <v>74854.4</v>
          </cell>
          <cell r="KC6">
            <v>75096.95</v>
          </cell>
        </row>
        <row r="7">
          <cell r="C7">
            <v>0.0698</v>
          </cell>
          <cell r="D7">
            <v>0.0963</v>
          </cell>
          <cell r="E7">
            <v>0.1016</v>
          </cell>
          <cell r="F7">
            <v>0.1064</v>
          </cell>
          <cell r="G7">
            <v>0.1104</v>
          </cell>
          <cell r="H7">
            <v>0.1152</v>
          </cell>
          <cell r="I7">
            <v>0.1205</v>
          </cell>
          <cell r="J7">
            <v>0.1322</v>
          </cell>
          <cell r="K7">
            <v>0.1389</v>
          </cell>
          <cell r="L7">
            <v>0.1459</v>
          </cell>
          <cell r="M7">
            <v>0.1511</v>
          </cell>
          <cell r="N7">
            <v>0.1564</v>
          </cell>
          <cell r="O7">
            <v>0.1601</v>
          </cell>
          <cell r="P7">
            <v>0.1608</v>
          </cell>
          <cell r="Q7">
            <v>0.1631</v>
          </cell>
          <cell r="R7">
            <v>0.1658</v>
          </cell>
          <cell r="S7">
            <v>0.1693</v>
          </cell>
          <cell r="T7">
            <v>0.1752</v>
          </cell>
          <cell r="U7">
            <v>0.1839</v>
          </cell>
          <cell r="V7">
            <v>0.1926</v>
          </cell>
          <cell r="W7">
            <v>0.202</v>
          </cell>
          <cell r="X7">
            <v>0.2168</v>
          </cell>
          <cell r="Y7">
            <v>0.2305</v>
          </cell>
          <cell r="Z7">
            <v>0.241</v>
          </cell>
          <cell r="AA7">
            <v>0.2484</v>
          </cell>
          <cell r="AB7">
            <v>0.2538</v>
          </cell>
          <cell r="AC7">
            <v>0.2567</v>
          </cell>
          <cell r="AD7">
            <v>0.2567</v>
          </cell>
          <cell r="AE7">
            <v>0.2563</v>
          </cell>
          <cell r="AF7">
            <v>0.2548</v>
          </cell>
          <cell r="AG7">
            <v>0.2527</v>
          </cell>
          <cell r="AH7">
            <v>0.2493</v>
          </cell>
          <cell r="AI7">
            <v>0.2445</v>
          </cell>
          <cell r="AJ7">
            <v>0.2389</v>
          </cell>
          <cell r="AK7">
            <v>0.2338</v>
          </cell>
          <cell r="AL7">
            <v>0.2297</v>
          </cell>
          <cell r="AM7">
            <v>0.2236</v>
          </cell>
          <cell r="AN7">
            <v>0.2163</v>
          </cell>
          <cell r="AO7">
            <v>0.2076</v>
          </cell>
          <cell r="AP7">
            <v>0.1977</v>
          </cell>
          <cell r="AQ7">
            <v>0.1861</v>
          </cell>
          <cell r="AR7">
            <v>0.175</v>
          </cell>
          <cell r="AS7">
            <v>0.1648</v>
          </cell>
          <cell r="AT7">
            <v>0.1535</v>
          </cell>
          <cell r="AU7">
            <v>0.1427</v>
          </cell>
          <cell r="AV7">
            <v>0.1333</v>
          </cell>
          <cell r="AW7">
            <v>0.1248</v>
          </cell>
          <cell r="AX7">
            <v>0.1174</v>
          </cell>
          <cell r="AY7">
            <v>0.1116</v>
          </cell>
          <cell r="AZ7">
            <v>0.1078</v>
          </cell>
          <cell r="BA7">
            <v>0.1047</v>
          </cell>
          <cell r="BB7">
            <v>0.1022</v>
          </cell>
          <cell r="BC7">
            <v>0.1005</v>
          </cell>
          <cell r="BD7">
            <v>0.0993</v>
          </cell>
          <cell r="BE7">
            <v>0.0978</v>
          </cell>
          <cell r="BF7">
            <v>0.0967</v>
          </cell>
          <cell r="BG7">
            <v>0.0969</v>
          </cell>
          <cell r="BH7">
            <v>0.0967</v>
          </cell>
          <cell r="BI7">
            <v>0.0968</v>
          </cell>
          <cell r="BJ7">
            <v>0.1166</v>
          </cell>
          <cell r="BK7">
            <v>0.1169</v>
          </cell>
          <cell r="BL7">
            <v>0.1164</v>
          </cell>
          <cell r="BM7">
            <v>0.1153</v>
          </cell>
          <cell r="BN7">
            <v>0.1152</v>
          </cell>
          <cell r="BO7">
            <v>0.1158</v>
          </cell>
          <cell r="BP7">
            <v>0.1161</v>
          </cell>
          <cell r="BQ7">
            <v>0.1161</v>
          </cell>
          <cell r="BR7">
            <v>0.1159</v>
          </cell>
          <cell r="BS7">
            <v>0.1156</v>
          </cell>
          <cell r="BT7">
            <v>0.1149</v>
          </cell>
          <cell r="BU7">
            <v>0.1144</v>
          </cell>
          <cell r="BV7">
            <v>0.1142</v>
          </cell>
          <cell r="BW7">
            <v>0.1136</v>
          </cell>
          <cell r="BX7">
            <v>0.1131</v>
          </cell>
          <cell r="BY7">
            <v>0.1123</v>
          </cell>
          <cell r="BZ7">
            <v>0.111</v>
          </cell>
          <cell r="CA7">
            <v>0.1094</v>
          </cell>
          <cell r="CB7">
            <v>0.1084</v>
          </cell>
          <cell r="CC7">
            <v>0.1079</v>
          </cell>
          <cell r="CD7">
            <v>0.1069</v>
          </cell>
          <cell r="CE7">
            <v>0.1059</v>
          </cell>
          <cell r="CF7">
            <v>0.1049</v>
          </cell>
          <cell r="CG7">
            <v>0.1037</v>
          </cell>
          <cell r="CH7">
            <v>0.1023</v>
          </cell>
          <cell r="CI7">
            <v>0.1015</v>
          </cell>
          <cell r="CJ7">
            <v>0.1012</v>
          </cell>
          <cell r="CK7">
            <v>0.1008</v>
          </cell>
          <cell r="CL7">
            <v>0.1002</v>
          </cell>
          <cell r="CM7">
            <v>0.0997</v>
          </cell>
          <cell r="CN7">
            <v>0.0991</v>
          </cell>
          <cell r="CO7">
            <v>0.0984</v>
          </cell>
          <cell r="CP7">
            <v>0.0982</v>
          </cell>
          <cell r="CQ7">
            <v>0.0982</v>
          </cell>
          <cell r="CR7">
            <v>0.098</v>
          </cell>
          <cell r="CS7">
            <v>0.0969</v>
          </cell>
          <cell r="CT7">
            <v>0.0966</v>
          </cell>
          <cell r="CU7">
            <v>0.0962</v>
          </cell>
          <cell r="CV7">
            <v>0.0957</v>
          </cell>
          <cell r="CW7">
            <v>0.0955</v>
          </cell>
          <cell r="CX7">
            <v>0.0955</v>
          </cell>
          <cell r="CY7">
            <v>0.0953</v>
          </cell>
          <cell r="CZ7">
            <v>0.0949</v>
          </cell>
          <cell r="DA7">
            <v>0.0947</v>
          </cell>
          <cell r="DB7">
            <v>0.0943</v>
          </cell>
          <cell r="DC7">
            <v>0.0937</v>
          </cell>
          <cell r="DD7">
            <v>0.0937</v>
          </cell>
          <cell r="DE7">
            <v>0.0939</v>
          </cell>
          <cell r="DF7">
            <v>0.0937</v>
          </cell>
          <cell r="DG7">
            <v>0.0933</v>
          </cell>
          <cell r="DH7">
            <v>0.0929</v>
          </cell>
          <cell r="DI7">
            <v>0.0924</v>
          </cell>
          <cell r="DJ7">
            <v>0.0918</v>
          </cell>
          <cell r="DK7">
            <v>0.0915</v>
          </cell>
          <cell r="DL7">
            <v>0.0913</v>
          </cell>
          <cell r="DM7">
            <v>0.091</v>
          </cell>
          <cell r="DN7">
            <v>0.0908</v>
          </cell>
          <cell r="DO7">
            <v>0.0908</v>
          </cell>
          <cell r="DP7">
            <v>0.0907</v>
          </cell>
          <cell r="DQ7">
            <v>0.0906</v>
          </cell>
          <cell r="DR7">
            <v>0.0908</v>
          </cell>
          <cell r="DS7">
            <v>0.0913</v>
          </cell>
          <cell r="DT7">
            <v>0.0913</v>
          </cell>
          <cell r="DU7">
            <v>0.0911</v>
          </cell>
          <cell r="DV7">
            <v>0.0908</v>
          </cell>
          <cell r="DW7">
            <v>0.0902</v>
          </cell>
          <cell r="DX7">
            <v>0.0897</v>
          </cell>
          <cell r="DY7">
            <v>0.0894</v>
          </cell>
          <cell r="DZ7">
            <v>0.0895</v>
          </cell>
          <cell r="EA7">
            <v>0.0895</v>
          </cell>
          <cell r="EB7">
            <v>0.0894</v>
          </cell>
          <cell r="EC7">
            <v>0.0894</v>
          </cell>
          <cell r="ED7">
            <v>0.0894</v>
          </cell>
          <cell r="EE7">
            <v>0.0891</v>
          </cell>
          <cell r="EF7">
            <v>0.0891</v>
          </cell>
          <cell r="EG7">
            <v>0.0893</v>
          </cell>
          <cell r="EH7">
            <v>0.0892</v>
          </cell>
          <cell r="EI7">
            <v>0.0889</v>
          </cell>
          <cell r="EJ7">
            <v>0.0887</v>
          </cell>
          <cell r="EK7">
            <v>0.0885</v>
          </cell>
          <cell r="EL7">
            <v>0.088</v>
          </cell>
          <cell r="EM7">
            <v>0.0877</v>
          </cell>
          <cell r="EN7">
            <v>0.0878</v>
          </cell>
          <cell r="EO7">
            <v>0.0878</v>
          </cell>
          <cell r="EP7">
            <v>0.088</v>
          </cell>
          <cell r="EQ7">
            <v>0.0882</v>
          </cell>
          <cell r="ER7">
            <v>0.0883</v>
          </cell>
          <cell r="ES7">
            <v>0.0882</v>
          </cell>
          <cell r="ET7">
            <v>0.0881</v>
          </cell>
          <cell r="EU7">
            <v>0.088</v>
          </cell>
          <cell r="EV7">
            <v>0.0876</v>
          </cell>
          <cell r="EW7">
            <v>0.087</v>
          </cell>
          <cell r="EX7">
            <v>0.0864</v>
          </cell>
          <cell r="EY7">
            <v>0.0858</v>
          </cell>
          <cell r="EZ7">
            <v>0.085</v>
          </cell>
          <cell r="FA7">
            <v>0.0846</v>
          </cell>
          <cell r="FB7">
            <v>0.0845</v>
          </cell>
          <cell r="FC7">
            <v>0.0842</v>
          </cell>
          <cell r="FD7">
            <v>0.0839</v>
          </cell>
          <cell r="FE7">
            <v>0.0835</v>
          </cell>
          <cell r="FF7">
            <v>0.083</v>
          </cell>
          <cell r="FG7">
            <v>0.0823</v>
          </cell>
          <cell r="FH7">
            <v>0.0813</v>
          </cell>
          <cell r="FI7">
            <v>0.0811</v>
          </cell>
          <cell r="FJ7">
            <v>0.0811</v>
          </cell>
          <cell r="FK7">
            <v>0.0813</v>
          </cell>
          <cell r="FL7">
            <v>0.0815</v>
          </cell>
          <cell r="FM7">
            <v>0.0816</v>
          </cell>
          <cell r="FN7">
            <v>0.0814</v>
          </cell>
          <cell r="FO7">
            <v>0.0815</v>
          </cell>
          <cell r="FP7">
            <v>0.0819</v>
          </cell>
          <cell r="FQ7">
            <v>0.082</v>
          </cell>
          <cell r="FR7">
            <v>0.0821</v>
          </cell>
          <cell r="FS7">
            <v>0.0821</v>
          </cell>
          <cell r="FT7">
            <v>0.0827</v>
          </cell>
          <cell r="FU7">
            <v>0.0829</v>
          </cell>
          <cell r="FV7">
            <v>0.083</v>
          </cell>
          <cell r="FW7">
            <v>0.083</v>
          </cell>
          <cell r="FX7">
            <v>0.0829</v>
          </cell>
          <cell r="FY7">
            <v>0.0825</v>
          </cell>
          <cell r="FZ7">
            <v>0.0821</v>
          </cell>
          <cell r="GA7">
            <v>0.0816</v>
          </cell>
          <cell r="GB7">
            <v>0.0811</v>
          </cell>
          <cell r="GC7">
            <v>0.0807</v>
          </cell>
          <cell r="GD7">
            <v>0.0803</v>
          </cell>
          <cell r="GE7">
            <v>0.0799</v>
          </cell>
          <cell r="GF7">
            <v>0.0797</v>
          </cell>
          <cell r="GG7">
            <v>0.0796</v>
          </cell>
          <cell r="GH7">
            <v>0.0792</v>
          </cell>
          <cell r="GI7">
            <v>0.0788</v>
          </cell>
          <cell r="GJ7">
            <v>0.0785</v>
          </cell>
          <cell r="GK7">
            <v>0.0783</v>
          </cell>
          <cell r="GL7">
            <v>0.0778</v>
          </cell>
          <cell r="GM7">
            <v>0.077</v>
          </cell>
          <cell r="GN7">
            <v>0.0764</v>
          </cell>
          <cell r="GO7">
            <v>0.0758</v>
          </cell>
          <cell r="GP7">
            <v>0.0751</v>
          </cell>
          <cell r="GQ7">
            <v>0.0748</v>
          </cell>
          <cell r="GR7">
            <v>0.0749</v>
          </cell>
          <cell r="GS7">
            <v>0.0749</v>
          </cell>
          <cell r="GT7">
            <v>0.0749</v>
          </cell>
          <cell r="GU7">
            <v>0.075</v>
          </cell>
          <cell r="GV7">
            <v>0.0749</v>
          </cell>
          <cell r="GW7">
            <v>0.075</v>
          </cell>
          <cell r="GX7">
            <v>0.0755</v>
          </cell>
          <cell r="GY7">
            <v>0.0761</v>
          </cell>
          <cell r="GZ7">
            <v>0.0764</v>
          </cell>
          <cell r="HA7">
            <v>0.0764</v>
          </cell>
          <cell r="HB7">
            <v>0.0764</v>
          </cell>
          <cell r="HC7">
            <v>0.0762</v>
          </cell>
          <cell r="HD7">
            <v>0.0759</v>
          </cell>
          <cell r="HE7">
            <v>0.0761</v>
          </cell>
          <cell r="HF7">
            <v>0.0765</v>
          </cell>
          <cell r="HG7">
            <v>0.0767</v>
          </cell>
          <cell r="HH7">
            <v>0.077</v>
          </cell>
          <cell r="HI7">
            <v>0.0722</v>
          </cell>
          <cell r="HJ7">
            <v>0.0773</v>
          </cell>
          <cell r="HK7">
            <v>0.077</v>
          </cell>
          <cell r="HL7">
            <v>0.0769</v>
          </cell>
          <cell r="HM7">
            <v>0.0772</v>
          </cell>
          <cell r="HN7">
            <v>0.0773</v>
          </cell>
          <cell r="HO7">
            <v>0.0775</v>
          </cell>
          <cell r="HP7">
            <v>0.0775</v>
          </cell>
          <cell r="HQ7">
            <v>0.0774</v>
          </cell>
          <cell r="HR7">
            <v>0.0772</v>
          </cell>
          <cell r="HS7">
            <v>0.0772</v>
          </cell>
          <cell r="HT7">
            <v>0.0774</v>
          </cell>
          <cell r="HU7">
            <v>0.0772</v>
          </cell>
          <cell r="HV7">
            <v>0.077</v>
          </cell>
          <cell r="HW7">
            <v>0.0767</v>
          </cell>
          <cell r="HX7">
            <v>0.0763</v>
          </cell>
          <cell r="HY7">
            <v>0.0757</v>
          </cell>
          <cell r="HZ7">
            <v>0.0754</v>
          </cell>
          <cell r="IA7">
            <v>0.0754</v>
          </cell>
          <cell r="IB7">
            <v>0.0753</v>
          </cell>
          <cell r="IC7">
            <v>0.0753</v>
          </cell>
          <cell r="ID7">
            <v>0.0755</v>
          </cell>
          <cell r="IE7">
            <v>0.0759</v>
          </cell>
          <cell r="IF7">
            <v>0.076</v>
          </cell>
          <cell r="IG7">
            <v>0.0764</v>
          </cell>
          <cell r="IH7">
            <v>0.0769</v>
          </cell>
          <cell r="II7">
            <v>0.0773</v>
          </cell>
          <cell r="IJ7">
            <v>0.0777</v>
          </cell>
          <cell r="IK7">
            <v>0.0783</v>
          </cell>
          <cell r="IL7">
            <v>0.0789</v>
          </cell>
          <cell r="IM7">
            <v>0.0794</v>
          </cell>
          <cell r="IN7">
            <v>0.08</v>
          </cell>
          <cell r="IO7">
            <v>0.0805</v>
          </cell>
          <cell r="IP7">
            <v>0.0808</v>
          </cell>
          <cell r="IQ7">
            <v>0.081</v>
          </cell>
          <cell r="IR7">
            <v>0.081</v>
          </cell>
          <cell r="IS7">
            <v>0.0809</v>
          </cell>
          <cell r="IT7">
            <v>0.0808</v>
          </cell>
          <cell r="IU7">
            <v>0.081</v>
          </cell>
          <cell r="IV7">
            <v>0.0813</v>
          </cell>
          <cell r="IW7">
            <v>0.0813</v>
          </cell>
          <cell r="IX7">
            <v>0.0814</v>
          </cell>
          <cell r="IY7">
            <v>0.0816</v>
          </cell>
          <cell r="IZ7">
            <v>0.0818</v>
          </cell>
          <cell r="JA7">
            <v>0.0817</v>
          </cell>
          <cell r="JB7">
            <v>0.0815</v>
          </cell>
          <cell r="JC7">
            <v>0.0811</v>
          </cell>
          <cell r="JD7">
            <v>0.0809</v>
          </cell>
          <cell r="JE7">
            <v>0.0809</v>
          </cell>
          <cell r="JF7">
            <v>0.0809</v>
          </cell>
          <cell r="JG7">
            <v>0.0808</v>
          </cell>
          <cell r="JH7">
            <v>0.0805</v>
          </cell>
          <cell r="JI7">
            <v>0.0803</v>
          </cell>
          <cell r="JJ7">
            <v>0.0801</v>
          </cell>
          <cell r="JK7">
            <v>0.0799</v>
          </cell>
          <cell r="JL7">
            <v>0.0797</v>
          </cell>
          <cell r="JM7">
            <v>0.0796</v>
          </cell>
          <cell r="JN7">
            <v>0.0796</v>
          </cell>
          <cell r="JO7">
            <v>0.08</v>
          </cell>
          <cell r="JP7">
            <v>0.0804</v>
          </cell>
          <cell r="JQ7">
            <v>0.0803</v>
          </cell>
          <cell r="JR7">
            <v>0.08</v>
          </cell>
          <cell r="JS7">
            <v>0.0797</v>
          </cell>
          <cell r="JT7">
            <v>0.0793</v>
          </cell>
          <cell r="JU7">
            <v>0.079</v>
          </cell>
          <cell r="JV7">
            <v>0.0788</v>
          </cell>
          <cell r="JW7">
            <v>0.0787</v>
          </cell>
          <cell r="JX7">
            <v>0.0786</v>
          </cell>
          <cell r="JY7">
            <v>0.0785</v>
          </cell>
          <cell r="JZ7">
            <v>0.0784</v>
          </cell>
          <cell r="KA7">
            <v>0.0784</v>
          </cell>
          <cell r="KB7">
            <v>0.0783</v>
          </cell>
          <cell r="KC7">
            <v>0.0781</v>
          </cell>
        </row>
        <row r="11">
          <cell r="C11">
            <v>10.77</v>
          </cell>
          <cell r="D11">
            <v>11.87</v>
          </cell>
          <cell r="E11">
            <v>12.01</v>
          </cell>
          <cell r="F11">
            <v>11.97</v>
          </cell>
          <cell r="G11">
            <v>11.86</v>
          </cell>
          <cell r="H11">
            <v>11.61</v>
          </cell>
          <cell r="I11">
            <v>11.62</v>
          </cell>
          <cell r="J11">
            <v>12.18</v>
          </cell>
          <cell r="K11">
            <v>11.98</v>
          </cell>
          <cell r="L11">
            <v>12.01</v>
          </cell>
          <cell r="M11">
            <v>11.93</v>
          </cell>
          <cell r="N11">
            <v>11.81</v>
          </cell>
          <cell r="O11">
            <v>11.44</v>
          </cell>
          <cell r="P11">
            <v>11.2</v>
          </cell>
          <cell r="Q11">
            <v>11.86</v>
          </cell>
          <cell r="R11">
            <v>12</v>
          </cell>
          <cell r="S11">
            <v>11.96</v>
          </cell>
          <cell r="T11">
            <v>12.06</v>
          </cell>
          <cell r="U11">
            <v>12.17</v>
          </cell>
          <cell r="V11">
            <v>12.07</v>
          </cell>
          <cell r="W11">
            <v>12.14</v>
          </cell>
          <cell r="X11">
            <v>13.06</v>
          </cell>
          <cell r="Y11">
            <v>13.15</v>
          </cell>
          <cell r="Z11">
            <v>12.95</v>
          </cell>
          <cell r="AA11">
            <v>12.58</v>
          </cell>
          <cell r="AB11">
            <v>12.28</v>
          </cell>
          <cell r="AC11">
            <v>11.96</v>
          </cell>
          <cell r="AD11">
            <v>11.59</v>
          </cell>
          <cell r="AE11">
            <v>11.7</v>
          </cell>
          <cell r="AF11">
            <v>11.42</v>
          </cell>
          <cell r="AG11">
            <v>11.14</v>
          </cell>
          <cell r="AH11">
            <v>11.26</v>
          </cell>
          <cell r="AI11">
            <v>11.17</v>
          </cell>
          <cell r="AJ11">
            <v>11.04</v>
          </cell>
          <cell r="AK11">
            <v>11.01</v>
          </cell>
          <cell r="AL11">
            <v>10.86</v>
          </cell>
          <cell r="AM11">
            <v>10.62</v>
          </cell>
          <cell r="AN11">
            <v>10.34</v>
          </cell>
          <cell r="AO11">
            <v>10.05</v>
          </cell>
          <cell r="AP11">
            <v>9.45</v>
          </cell>
          <cell r="AQ11">
            <v>8.62</v>
          </cell>
          <cell r="AR11">
            <v>8.37</v>
          </cell>
          <cell r="AS11">
            <v>8.2</v>
          </cell>
          <cell r="AT11">
            <v>8.13</v>
          </cell>
          <cell r="AU11">
            <v>8.21</v>
          </cell>
          <cell r="AV11">
            <v>8.65</v>
          </cell>
          <cell r="AW11">
            <v>8.74</v>
          </cell>
          <cell r="AX11">
            <v>8.89</v>
          </cell>
          <cell r="AY11">
            <v>9.25</v>
          </cell>
          <cell r="AZ11">
            <v>9.83</v>
          </cell>
          <cell r="BA11">
            <v>10.49</v>
          </cell>
          <cell r="BB11">
            <v>11.07</v>
          </cell>
          <cell r="BC11">
            <v>11.53</v>
          </cell>
          <cell r="BD11">
            <v>11.74</v>
          </cell>
          <cell r="BE11">
            <v>11.37</v>
          </cell>
          <cell r="BF11">
            <v>11.51</v>
          </cell>
          <cell r="BG11">
            <v>11.76</v>
          </cell>
          <cell r="BH11">
            <v>11.62</v>
          </cell>
          <cell r="BI11">
            <v>11.86</v>
          </cell>
          <cell r="BJ11">
            <v>11.89</v>
          </cell>
          <cell r="BK11">
            <v>11.85</v>
          </cell>
          <cell r="BL11">
            <v>11.37</v>
          </cell>
          <cell r="BM11">
            <v>11.09</v>
          </cell>
          <cell r="BN11">
            <v>11.62</v>
          </cell>
          <cell r="BO11">
            <v>11.65</v>
          </cell>
          <cell r="BP11">
            <v>11.54</v>
          </cell>
          <cell r="BQ11">
            <v>11.34</v>
          </cell>
          <cell r="BR11">
            <v>11.15</v>
          </cell>
          <cell r="BS11">
            <v>10.95</v>
          </cell>
          <cell r="BT11">
            <v>10.67</v>
          </cell>
          <cell r="BU11">
            <v>10.95</v>
          </cell>
          <cell r="BV11">
            <v>10.76</v>
          </cell>
          <cell r="BW11">
            <v>10.83</v>
          </cell>
          <cell r="BX11">
            <v>10.89</v>
          </cell>
          <cell r="BY11">
            <v>10.72</v>
          </cell>
          <cell r="BZ11">
            <v>10.46</v>
          </cell>
          <cell r="CA11">
            <v>10.28</v>
          </cell>
          <cell r="CB11">
            <v>10.9</v>
          </cell>
          <cell r="CC11">
            <v>10.69</v>
          </cell>
          <cell r="CD11">
            <v>10.56</v>
          </cell>
          <cell r="CE11">
            <v>10.51</v>
          </cell>
          <cell r="CF11">
            <v>10.53</v>
          </cell>
          <cell r="CG11">
            <v>10.44</v>
          </cell>
          <cell r="CH11">
            <v>10.17</v>
          </cell>
          <cell r="CI11">
            <v>10.68</v>
          </cell>
          <cell r="CJ11">
            <v>10.57</v>
          </cell>
          <cell r="CK11">
            <v>10.67</v>
          </cell>
          <cell r="CL11">
            <v>10.59</v>
          </cell>
          <cell r="CM11">
            <v>10.45</v>
          </cell>
          <cell r="CN11">
            <v>10.3</v>
          </cell>
          <cell r="CO11">
            <v>10.04</v>
          </cell>
          <cell r="CP11">
            <v>10.44</v>
          </cell>
          <cell r="CQ11">
            <v>10.54</v>
          </cell>
          <cell r="CR11">
            <v>10.5</v>
          </cell>
          <cell r="CS11">
            <v>9.3</v>
          </cell>
          <cell r="CT11">
            <v>9.76</v>
          </cell>
          <cell r="CU11">
            <v>10.11</v>
          </cell>
          <cell r="CV11">
            <v>10.41</v>
          </cell>
          <cell r="CW11">
            <v>10.46</v>
          </cell>
          <cell r="CX11">
            <v>10.29</v>
          </cell>
          <cell r="CY11">
            <v>10.33</v>
          </cell>
          <cell r="CZ11">
            <v>10.3</v>
          </cell>
          <cell r="DA11">
            <v>10.45</v>
          </cell>
          <cell r="DB11">
            <v>10.31</v>
          </cell>
          <cell r="DC11">
            <v>10.05</v>
          </cell>
          <cell r="DD11">
            <v>10.49</v>
          </cell>
          <cell r="DE11">
            <v>10.47</v>
          </cell>
          <cell r="DF11">
            <v>10.62</v>
          </cell>
          <cell r="DG11">
            <v>10.47</v>
          </cell>
          <cell r="DH11">
            <v>10.53</v>
          </cell>
          <cell r="DI11">
            <v>10.35</v>
          </cell>
          <cell r="DJ11">
            <v>9.97</v>
          </cell>
          <cell r="DK11">
            <v>10.43</v>
          </cell>
          <cell r="DL11">
            <v>10.38</v>
          </cell>
          <cell r="DM11">
            <v>10.37</v>
          </cell>
          <cell r="DN11">
            <v>10.49</v>
          </cell>
          <cell r="DO11">
            <v>10.5</v>
          </cell>
          <cell r="DP11">
            <v>10.54</v>
          </cell>
          <cell r="DQ11">
            <v>10.5</v>
          </cell>
          <cell r="DR11">
            <v>10.6</v>
          </cell>
          <cell r="DS11">
            <v>10.45</v>
          </cell>
          <cell r="DT11">
            <v>8.81</v>
          </cell>
          <cell r="DU11">
            <v>9.14</v>
          </cell>
          <cell r="DV11">
            <v>9.6</v>
          </cell>
          <cell r="DW11">
            <v>9.98</v>
          </cell>
          <cell r="DX11">
            <v>10.05</v>
          </cell>
          <cell r="DY11">
            <v>10.44</v>
          </cell>
          <cell r="DZ11">
            <v>10.5</v>
          </cell>
          <cell r="EA11">
            <v>10.55</v>
          </cell>
          <cell r="EB11">
            <v>10.54</v>
          </cell>
          <cell r="EC11">
            <v>10.52</v>
          </cell>
          <cell r="ED11">
            <v>10.55</v>
          </cell>
          <cell r="EE11">
            <v>10.13</v>
          </cell>
          <cell r="EF11">
            <v>10.49</v>
          </cell>
          <cell r="EG11">
            <v>10.54</v>
          </cell>
          <cell r="EH11">
            <v>10.58</v>
          </cell>
          <cell r="EI11">
            <v>10.62</v>
          </cell>
          <cell r="EJ11">
            <v>10.85</v>
          </cell>
          <cell r="EK11">
            <v>10.83</v>
          </cell>
          <cell r="EL11">
            <v>10.45</v>
          </cell>
          <cell r="EM11">
            <v>10.84</v>
          </cell>
          <cell r="EN11">
            <v>10.84</v>
          </cell>
          <cell r="EO11">
            <v>10.9</v>
          </cell>
          <cell r="EP11">
            <v>11.15</v>
          </cell>
          <cell r="EQ11">
            <v>11.24</v>
          </cell>
          <cell r="ER11">
            <v>11.02</v>
          </cell>
          <cell r="ES11">
            <v>10.65</v>
          </cell>
          <cell r="ET11">
            <v>11.03</v>
          </cell>
          <cell r="EU11">
            <v>10.86</v>
          </cell>
          <cell r="EV11">
            <v>10.79</v>
          </cell>
          <cell r="EW11">
            <v>10.84</v>
          </cell>
          <cell r="EX11">
            <v>10.86</v>
          </cell>
          <cell r="EY11">
            <v>10.53</v>
          </cell>
          <cell r="EZ11">
            <v>10.27</v>
          </cell>
          <cell r="FA11">
            <v>10.97</v>
          </cell>
          <cell r="FB11">
            <v>10.98</v>
          </cell>
          <cell r="FC11">
            <v>10.9</v>
          </cell>
          <cell r="FD11">
            <v>10.92</v>
          </cell>
          <cell r="FE11">
            <v>10.93</v>
          </cell>
          <cell r="FF11">
            <v>10.8</v>
          </cell>
          <cell r="FG11">
            <v>10.5</v>
          </cell>
          <cell r="FH11">
            <v>10.07</v>
          </cell>
          <cell r="FI11">
            <v>11.51</v>
          </cell>
          <cell r="FJ11">
            <v>11.93</v>
          </cell>
          <cell r="FK11">
            <v>12.27</v>
          </cell>
          <cell r="FL11">
            <v>12.37</v>
          </cell>
          <cell r="FM11">
            <v>12.16</v>
          </cell>
          <cell r="FN11">
            <v>11.53</v>
          </cell>
          <cell r="FO11">
            <v>11.99</v>
          </cell>
          <cell r="FP11">
            <v>12.16</v>
          </cell>
          <cell r="FQ11">
            <v>12.13</v>
          </cell>
          <cell r="FR11">
            <v>12.29</v>
          </cell>
          <cell r="FS11">
            <v>12.31</v>
          </cell>
          <cell r="FT11">
            <v>12.14</v>
          </cell>
          <cell r="FU11">
            <v>11.64</v>
          </cell>
          <cell r="FV11">
            <v>12.11</v>
          </cell>
          <cell r="FW11">
            <v>12</v>
          </cell>
          <cell r="FX11">
            <v>12.06</v>
          </cell>
          <cell r="FY11">
            <v>11.99</v>
          </cell>
          <cell r="FZ11">
            <v>12.17</v>
          </cell>
          <cell r="GA11">
            <v>11.95</v>
          </cell>
          <cell r="GB11">
            <v>11.69</v>
          </cell>
          <cell r="GC11">
            <v>12.17</v>
          </cell>
          <cell r="GD11">
            <v>12.01</v>
          </cell>
          <cell r="GE11">
            <v>12.12</v>
          </cell>
          <cell r="GF11">
            <v>12.44</v>
          </cell>
          <cell r="GG11">
            <v>12.86</v>
          </cell>
          <cell r="GH11">
            <v>12.7</v>
          </cell>
          <cell r="GI11">
            <v>12.5</v>
          </cell>
          <cell r="GJ11">
            <v>13.22</v>
          </cell>
          <cell r="GK11">
            <v>13.01</v>
          </cell>
          <cell r="GL11">
            <v>12.94</v>
          </cell>
          <cell r="GM11">
            <v>12.84</v>
          </cell>
          <cell r="GN11">
            <v>12.92</v>
          </cell>
          <cell r="GO11">
            <v>12.4</v>
          </cell>
          <cell r="GP11">
            <v>11.97</v>
          </cell>
          <cell r="GQ11">
            <v>12.9</v>
          </cell>
          <cell r="GR11">
            <v>13.07</v>
          </cell>
          <cell r="GS11">
            <v>13.18</v>
          </cell>
          <cell r="GT11">
            <v>13.4</v>
          </cell>
          <cell r="GU11">
            <v>13.68</v>
          </cell>
          <cell r="GV11">
            <v>13.13</v>
          </cell>
          <cell r="GW11">
            <v>13.39</v>
          </cell>
          <cell r="GX11">
            <v>14.19</v>
          </cell>
          <cell r="GY11">
            <v>14.37</v>
          </cell>
          <cell r="GZ11">
            <v>14.51</v>
          </cell>
          <cell r="HA11">
            <v>13.79</v>
          </cell>
          <cell r="HB11">
            <v>13.58</v>
          </cell>
          <cell r="HC11">
            <v>13.05</v>
          </cell>
          <cell r="HD11">
            <v>12.44</v>
          </cell>
          <cell r="HE11">
            <v>13.38</v>
          </cell>
          <cell r="HF11">
            <v>13.41</v>
          </cell>
          <cell r="HG11">
            <v>13.52</v>
          </cell>
          <cell r="HH11">
            <v>13.74</v>
          </cell>
          <cell r="HI11">
            <v>14.1</v>
          </cell>
          <cell r="HJ11">
            <v>14</v>
          </cell>
          <cell r="HK11">
            <v>13.47</v>
          </cell>
          <cell r="HL11">
            <v>14.11</v>
          </cell>
          <cell r="HM11">
            <v>14.18</v>
          </cell>
          <cell r="HN11">
            <v>14.15</v>
          </cell>
          <cell r="HO11">
            <v>14.16</v>
          </cell>
          <cell r="HP11">
            <v>14.13</v>
          </cell>
          <cell r="HQ11">
            <v>13.73</v>
          </cell>
          <cell r="HR11">
            <v>13.21</v>
          </cell>
          <cell r="HS11">
            <v>13.91</v>
          </cell>
          <cell r="HT11">
            <v>13.77</v>
          </cell>
          <cell r="HU11">
            <v>13.57</v>
          </cell>
          <cell r="HV11">
            <v>13.53</v>
          </cell>
          <cell r="HW11">
            <v>13.51</v>
          </cell>
          <cell r="HX11">
            <v>13.12</v>
          </cell>
          <cell r="HY11">
            <v>12.48</v>
          </cell>
          <cell r="HZ11">
            <v>13.2</v>
          </cell>
          <cell r="IA11">
            <v>13.1</v>
          </cell>
          <cell r="IB11">
            <v>13.2</v>
          </cell>
          <cell r="IC11">
            <v>13.57</v>
          </cell>
          <cell r="ID11">
            <v>14.02</v>
          </cell>
          <cell r="IE11">
            <v>13.83</v>
          </cell>
          <cell r="IF11">
            <v>13.31</v>
          </cell>
          <cell r="IG11">
            <v>13.67</v>
          </cell>
          <cell r="IH11">
            <v>13.09</v>
          </cell>
          <cell r="II11">
            <v>12.91</v>
          </cell>
          <cell r="IJ11">
            <v>13.06</v>
          </cell>
          <cell r="IK11">
            <v>13.39</v>
          </cell>
          <cell r="IL11">
            <v>13.3</v>
          </cell>
          <cell r="IM11">
            <v>13.14</v>
          </cell>
          <cell r="IN11">
            <v>13.39</v>
          </cell>
          <cell r="IO11">
            <v>12.93</v>
          </cell>
          <cell r="IP11">
            <v>13.28</v>
          </cell>
          <cell r="IQ11">
            <v>13.25</v>
          </cell>
          <cell r="IR11">
            <v>12.91</v>
          </cell>
          <cell r="IS11">
            <v>12.62</v>
          </cell>
          <cell r="IT11">
            <v>12.41</v>
          </cell>
          <cell r="IU11">
            <v>13.22</v>
          </cell>
          <cell r="IV11">
            <v>12.93</v>
          </cell>
          <cell r="IW11">
            <v>12.52</v>
          </cell>
          <cell r="IX11">
            <v>12.47</v>
          </cell>
          <cell r="IY11">
            <v>12.54</v>
          </cell>
          <cell r="IZ11">
            <v>12.46</v>
          </cell>
          <cell r="JA11">
            <v>11.68</v>
          </cell>
          <cell r="JB11">
            <v>11.03</v>
          </cell>
          <cell r="JC11">
            <v>10.62</v>
          </cell>
          <cell r="JD11">
            <v>12.26</v>
          </cell>
          <cell r="JE11">
            <v>12.56</v>
          </cell>
          <cell r="JF11">
            <v>12.65</v>
          </cell>
          <cell r="JG11">
            <v>11.58</v>
          </cell>
          <cell r="JH11">
            <v>10.78</v>
          </cell>
          <cell r="JI11">
            <v>10.96</v>
          </cell>
          <cell r="JJ11">
            <v>10.97</v>
          </cell>
          <cell r="JK11">
            <v>11.22</v>
          </cell>
          <cell r="JL11">
            <v>11.42</v>
          </cell>
          <cell r="JM11">
            <v>11.5</v>
          </cell>
          <cell r="JN11">
            <v>11.43</v>
          </cell>
          <cell r="JO11">
            <v>11.61</v>
          </cell>
          <cell r="JP11">
            <v>11.25</v>
          </cell>
          <cell r="JQ11">
            <v>9.38</v>
          </cell>
          <cell r="JR11">
            <v>9.13</v>
          </cell>
          <cell r="JS11">
            <v>9.33</v>
          </cell>
          <cell r="JT11">
            <v>9.75</v>
          </cell>
          <cell r="JU11">
            <v>10.05</v>
          </cell>
          <cell r="JV11">
            <v>10.26</v>
          </cell>
          <cell r="JW11">
            <v>10.52</v>
          </cell>
          <cell r="JX11">
            <v>10.64</v>
          </cell>
          <cell r="JY11">
            <v>10.57</v>
          </cell>
          <cell r="JZ11">
            <v>10.59</v>
          </cell>
          <cell r="KA11">
            <v>10.65</v>
          </cell>
          <cell r="KB11">
            <v>10.76</v>
          </cell>
          <cell r="KC11">
            <v>10.43</v>
          </cell>
        </row>
        <row r="14">
          <cell r="C14">
            <v>8.54</v>
          </cell>
          <cell r="D14">
            <v>8.4</v>
          </cell>
          <cell r="E14">
            <v>9.09</v>
          </cell>
          <cell r="F14">
            <v>9.2</v>
          </cell>
          <cell r="G14">
            <v>9.17</v>
          </cell>
          <cell r="H14">
            <v>9.15</v>
          </cell>
          <cell r="I14">
            <v>9.11</v>
          </cell>
          <cell r="J14">
            <v>9.03</v>
          </cell>
          <cell r="K14">
            <v>9.2</v>
          </cell>
          <cell r="L14">
            <v>9.2</v>
          </cell>
          <cell r="M14">
            <v>9.2</v>
          </cell>
          <cell r="N14">
            <v>9.13</v>
          </cell>
          <cell r="O14">
            <v>9.06</v>
          </cell>
          <cell r="P14">
            <v>8.86</v>
          </cell>
          <cell r="Q14">
            <v>8.86</v>
          </cell>
          <cell r="R14">
            <v>9.13</v>
          </cell>
          <cell r="S14">
            <v>9.11</v>
          </cell>
          <cell r="T14">
            <v>9.08</v>
          </cell>
          <cell r="U14">
            <v>9.14</v>
          </cell>
          <cell r="V14">
            <v>9.18</v>
          </cell>
          <cell r="W14">
            <v>9.18</v>
          </cell>
          <cell r="X14">
            <v>9.29</v>
          </cell>
          <cell r="Y14">
            <v>9.67</v>
          </cell>
          <cell r="Z14">
            <v>9.68</v>
          </cell>
          <cell r="AA14">
            <v>9.53</v>
          </cell>
          <cell r="AB14">
            <v>9.33</v>
          </cell>
          <cell r="AC14">
            <v>9.15</v>
          </cell>
          <cell r="AD14">
            <v>9.01</v>
          </cell>
          <cell r="AE14">
            <v>8.74</v>
          </cell>
          <cell r="AF14">
            <v>8.64</v>
          </cell>
          <cell r="AG14">
            <v>8.41</v>
          </cell>
          <cell r="AH14">
            <v>8.27</v>
          </cell>
          <cell r="AI14">
            <v>8.3</v>
          </cell>
          <cell r="AJ14">
            <v>8.18</v>
          </cell>
          <cell r="AK14">
            <v>8.04</v>
          </cell>
          <cell r="AL14">
            <v>7.96</v>
          </cell>
          <cell r="AM14">
            <v>7.81</v>
          </cell>
          <cell r="AN14">
            <v>7.6</v>
          </cell>
          <cell r="AO14">
            <v>7.35</v>
          </cell>
          <cell r="AP14">
            <v>7.02</v>
          </cell>
          <cell r="AQ14">
            <v>6.78</v>
          </cell>
          <cell r="AR14">
            <v>6.48</v>
          </cell>
          <cell r="AS14">
            <v>6.36</v>
          </cell>
          <cell r="AT14">
            <v>6.25</v>
          </cell>
          <cell r="AU14">
            <v>6.24</v>
          </cell>
          <cell r="AV14">
            <v>6.36</v>
          </cell>
          <cell r="AW14">
            <v>6.62</v>
          </cell>
          <cell r="AX14">
            <v>6.7</v>
          </cell>
          <cell r="AY14">
            <v>6.84</v>
          </cell>
          <cell r="AZ14">
            <v>7.1</v>
          </cell>
          <cell r="BA14">
            <v>7.56</v>
          </cell>
          <cell r="BB14">
            <v>7.96</v>
          </cell>
          <cell r="BC14">
            <v>8.27</v>
          </cell>
          <cell r="BD14">
            <v>8.49</v>
          </cell>
          <cell r="BE14">
            <v>8.53</v>
          </cell>
          <cell r="BF14">
            <v>8.43</v>
          </cell>
          <cell r="BG14">
            <v>8.49</v>
          </cell>
          <cell r="BH14">
            <v>8.69</v>
          </cell>
          <cell r="BI14">
            <v>8.67</v>
          </cell>
          <cell r="BJ14">
            <v>8.73</v>
          </cell>
          <cell r="BK14">
            <v>8.84</v>
          </cell>
          <cell r="BL14">
            <v>8.89</v>
          </cell>
          <cell r="BM14">
            <v>8.74</v>
          </cell>
          <cell r="BN14">
            <v>8.52</v>
          </cell>
          <cell r="BO14">
            <v>8.74</v>
          </cell>
          <cell r="BP14">
            <v>8.79</v>
          </cell>
          <cell r="BQ14">
            <v>8.84</v>
          </cell>
          <cell r="BR14">
            <v>8.79</v>
          </cell>
          <cell r="BS14">
            <v>8.72</v>
          </cell>
          <cell r="BT14">
            <v>8.58</v>
          </cell>
          <cell r="BU14">
            <v>8.37</v>
          </cell>
          <cell r="BV14">
            <v>8.53</v>
          </cell>
          <cell r="BW14">
            <v>8.54</v>
          </cell>
          <cell r="BX14">
            <v>8.5</v>
          </cell>
          <cell r="BY14">
            <v>8.46</v>
          </cell>
          <cell r="BZ14">
            <v>8.37</v>
          </cell>
          <cell r="CA14">
            <v>8.27</v>
          </cell>
          <cell r="CB14">
            <v>8.24</v>
          </cell>
          <cell r="CC14">
            <v>8.48</v>
          </cell>
          <cell r="CD14">
            <v>8.46</v>
          </cell>
          <cell r="CE14">
            <v>8.42</v>
          </cell>
          <cell r="CF14">
            <v>8.35</v>
          </cell>
          <cell r="CG14">
            <v>8.35</v>
          </cell>
          <cell r="CH14">
            <v>8.29</v>
          </cell>
          <cell r="CI14">
            <v>8.22</v>
          </cell>
          <cell r="CJ14">
            <v>8.44</v>
          </cell>
          <cell r="CK14">
            <v>8.41</v>
          </cell>
          <cell r="CL14">
            <v>8.4</v>
          </cell>
          <cell r="CM14">
            <v>8.39</v>
          </cell>
          <cell r="CN14">
            <v>8.36</v>
          </cell>
          <cell r="CO14">
            <v>8.23</v>
          </cell>
          <cell r="CP14">
            <v>8.11</v>
          </cell>
          <cell r="CQ14">
            <v>8.33</v>
          </cell>
          <cell r="CR14">
            <v>8.36</v>
          </cell>
          <cell r="CS14">
            <v>8.07</v>
          </cell>
          <cell r="CT14">
            <v>7.64</v>
          </cell>
          <cell r="CU14">
            <v>7.97</v>
          </cell>
          <cell r="CV14">
            <v>8.12</v>
          </cell>
          <cell r="CW14">
            <v>8.19</v>
          </cell>
          <cell r="CX14">
            <v>8.24</v>
          </cell>
          <cell r="CY14">
            <v>8.24</v>
          </cell>
          <cell r="CZ14">
            <v>8.24</v>
          </cell>
          <cell r="DA14">
            <v>8.28</v>
          </cell>
          <cell r="DB14">
            <v>8.31</v>
          </cell>
          <cell r="DC14">
            <v>8.29</v>
          </cell>
          <cell r="DD14">
            <v>8.18</v>
          </cell>
          <cell r="DE14">
            <v>8.4</v>
          </cell>
          <cell r="DF14">
            <v>8.42</v>
          </cell>
          <cell r="DG14">
            <v>8.43</v>
          </cell>
          <cell r="DH14">
            <v>8.35</v>
          </cell>
          <cell r="DI14">
            <v>8.37</v>
          </cell>
          <cell r="DJ14">
            <v>8.2</v>
          </cell>
          <cell r="DK14">
            <v>8.07</v>
          </cell>
          <cell r="DL14">
            <v>8.28</v>
          </cell>
          <cell r="DM14">
            <v>8.29</v>
          </cell>
          <cell r="DN14">
            <v>8.3</v>
          </cell>
          <cell r="DO14">
            <v>8.36</v>
          </cell>
          <cell r="DP14">
            <v>8.44</v>
          </cell>
          <cell r="DQ14">
            <v>8.39</v>
          </cell>
          <cell r="DR14">
            <v>8.37</v>
          </cell>
          <cell r="DS14">
            <v>8.38</v>
          </cell>
          <cell r="DT14">
            <v>7.78</v>
          </cell>
          <cell r="DU14">
            <v>7.25</v>
          </cell>
          <cell r="DV14">
            <v>7.54</v>
          </cell>
          <cell r="DW14">
            <v>7.85</v>
          </cell>
          <cell r="DX14">
            <v>8.03</v>
          </cell>
          <cell r="DY14">
            <v>8.12</v>
          </cell>
          <cell r="DZ14">
            <v>8.3</v>
          </cell>
          <cell r="EA14">
            <v>8.37</v>
          </cell>
          <cell r="EB14">
            <v>8.35</v>
          </cell>
          <cell r="EC14">
            <v>8.35</v>
          </cell>
          <cell r="ED14">
            <v>8.41</v>
          </cell>
          <cell r="EE14">
            <v>8.4</v>
          </cell>
          <cell r="EF14">
            <v>8.2</v>
          </cell>
          <cell r="EG14">
            <v>8.4</v>
          </cell>
          <cell r="EH14">
            <v>8.42</v>
          </cell>
          <cell r="EI14">
            <v>8.44</v>
          </cell>
          <cell r="EJ14">
            <v>8.5</v>
          </cell>
          <cell r="EK14">
            <v>8.64</v>
          </cell>
          <cell r="EL14">
            <v>8.56</v>
          </cell>
          <cell r="EM14">
            <v>8.36</v>
          </cell>
          <cell r="EN14">
            <v>8.55</v>
          </cell>
          <cell r="EO14">
            <v>8.58</v>
          </cell>
          <cell r="EP14">
            <v>8.68</v>
          </cell>
          <cell r="EQ14">
            <v>8.77</v>
          </cell>
          <cell r="ER14">
            <v>8.89</v>
          </cell>
          <cell r="ES14">
            <v>8.71</v>
          </cell>
          <cell r="ET14">
            <v>8.6</v>
          </cell>
          <cell r="EU14">
            <v>8.65</v>
          </cell>
          <cell r="EV14">
            <v>8.6</v>
          </cell>
          <cell r="EW14">
            <v>8.57</v>
          </cell>
          <cell r="EX14">
            <v>8.58</v>
          </cell>
          <cell r="EY14">
            <v>8.55</v>
          </cell>
          <cell r="EZ14">
            <v>8.47</v>
          </cell>
          <cell r="FA14">
            <v>8.47</v>
          </cell>
          <cell r="FB14">
            <v>8.69</v>
          </cell>
          <cell r="FC14">
            <v>8.66</v>
          </cell>
          <cell r="FD14">
            <v>8.63</v>
          </cell>
          <cell r="FE14">
            <v>8.66</v>
          </cell>
          <cell r="FF14">
            <v>8.72</v>
          </cell>
          <cell r="FG14">
            <v>8.64</v>
          </cell>
          <cell r="FH14">
            <v>8.36</v>
          </cell>
          <cell r="FI14">
            <v>8.24</v>
          </cell>
          <cell r="FJ14">
            <v>9.09</v>
          </cell>
          <cell r="FK14">
            <v>9.46</v>
          </cell>
          <cell r="FL14">
            <v>9.64</v>
          </cell>
          <cell r="FM14">
            <v>9.69</v>
          </cell>
          <cell r="FN14">
            <v>9.59</v>
          </cell>
          <cell r="FO14">
            <v>9.21</v>
          </cell>
          <cell r="FP14">
            <v>9.5</v>
          </cell>
          <cell r="FQ14">
            <v>9.53</v>
          </cell>
          <cell r="FR14">
            <v>9.59</v>
          </cell>
          <cell r="FS14">
            <v>9.76</v>
          </cell>
          <cell r="FT14">
            <v>9.72</v>
          </cell>
          <cell r="FU14">
            <v>9.66</v>
          </cell>
          <cell r="FV14">
            <v>9.39</v>
          </cell>
          <cell r="FW14">
            <v>9.5</v>
          </cell>
          <cell r="FX14">
            <v>9.49</v>
          </cell>
          <cell r="FY14">
            <v>9.45</v>
          </cell>
          <cell r="FZ14">
            <v>9.49</v>
          </cell>
          <cell r="GA14">
            <v>9.57</v>
          </cell>
          <cell r="GB14">
            <v>9.52</v>
          </cell>
          <cell r="GC14">
            <v>9.36</v>
          </cell>
          <cell r="GD14">
            <v>9.45</v>
          </cell>
          <cell r="GE14">
            <v>9.39</v>
          </cell>
          <cell r="GF14">
            <v>9.66</v>
          </cell>
          <cell r="GG14">
            <v>9.88</v>
          </cell>
          <cell r="GH14">
            <v>10.04</v>
          </cell>
          <cell r="GI14">
            <v>10.19</v>
          </cell>
          <cell r="GJ14">
            <v>10.12</v>
          </cell>
          <cell r="GK14">
            <v>10.26</v>
          </cell>
          <cell r="GL14">
            <v>10.24</v>
          </cell>
          <cell r="GM14">
            <v>10.14</v>
          </cell>
          <cell r="GN14">
            <v>10.09</v>
          </cell>
          <cell r="GO14">
            <v>10.12</v>
          </cell>
          <cell r="GP14">
            <v>9.93</v>
          </cell>
          <cell r="GQ14">
            <v>9.8</v>
          </cell>
          <cell r="GR14">
            <v>10.13</v>
          </cell>
          <cell r="GS14">
            <v>10.21</v>
          </cell>
          <cell r="GT14">
            <v>10.25</v>
          </cell>
          <cell r="GU14">
            <v>10.36</v>
          </cell>
          <cell r="GV14">
            <v>10.42</v>
          </cell>
          <cell r="GW14">
            <v>10.45</v>
          </cell>
          <cell r="GX14">
            <v>10.54</v>
          </cell>
          <cell r="GY14">
            <v>10.87</v>
          </cell>
          <cell r="GZ14">
            <v>11.1</v>
          </cell>
          <cell r="HA14">
            <v>10.86</v>
          </cell>
          <cell r="HB14">
            <v>10.7</v>
          </cell>
          <cell r="HC14">
            <v>10.49</v>
          </cell>
          <cell r="HD14">
            <v>10.06</v>
          </cell>
          <cell r="HE14">
            <v>9.84</v>
          </cell>
          <cell r="HF14">
            <v>10.08</v>
          </cell>
          <cell r="HG14">
            <v>10.17</v>
          </cell>
          <cell r="HH14">
            <v>10.31</v>
          </cell>
          <cell r="HI14">
            <v>10.49</v>
          </cell>
          <cell r="HJ14">
            <v>10.77</v>
          </cell>
          <cell r="HK14">
            <v>10.7</v>
          </cell>
          <cell r="HL14">
            <v>10.48</v>
          </cell>
          <cell r="HM14">
            <v>10.67</v>
          </cell>
          <cell r="HN14">
            <v>10.68</v>
          </cell>
          <cell r="HO14">
            <v>10.73</v>
          </cell>
          <cell r="HP14">
            <v>10.85</v>
          </cell>
          <cell r="HQ14">
            <v>10.77</v>
          </cell>
          <cell r="HR14">
            <v>10.58</v>
          </cell>
          <cell r="HS14">
            <v>10.3</v>
          </cell>
          <cell r="HT14">
            <v>10.44</v>
          </cell>
          <cell r="HU14">
            <v>10.34</v>
          </cell>
          <cell r="HV14">
            <v>10.27</v>
          </cell>
          <cell r="HW14">
            <v>10.16</v>
          </cell>
          <cell r="HX14">
            <v>10.16</v>
          </cell>
          <cell r="HY14">
            <v>9.96</v>
          </cell>
          <cell r="HZ14">
            <v>9.74</v>
          </cell>
          <cell r="IA14">
            <v>9.95</v>
          </cell>
          <cell r="IB14">
            <v>9.99</v>
          </cell>
          <cell r="IC14">
            <v>10.07</v>
          </cell>
          <cell r="ID14">
            <v>10.4</v>
          </cell>
          <cell r="IE14">
            <v>10.52</v>
          </cell>
          <cell r="IF14">
            <v>10.58</v>
          </cell>
          <cell r="IG14">
            <v>10.27</v>
          </cell>
          <cell r="IH14">
            <v>10.34</v>
          </cell>
          <cell r="II14">
            <v>10.12</v>
          </cell>
          <cell r="IJ14">
            <v>10.08</v>
          </cell>
          <cell r="IK14">
            <v>10.04</v>
          </cell>
          <cell r="IL14">
            <v>10.26</v>
          </cell>
          <cell r="IM14">
            <v>10.11</v>
          </cell>
          <cell r="IN14">
            <v>10.19</v>
          </cell>
          <cell r="IO14">
            <v>10.1</v>
          </cell>
          <cell r="IP14">
            <v>10.11</v>
          </cell>
          <cell r="IQ14">
            <v>10.32</v>
          </cell>
          <cell r="IR14">
            <v>10.15</v>
          </cell>
          <cell r="IS14">
            <v>9.87</v>
          </cell>
          <cell r="IT14">
            <v>9.83</v>
          </cell>
          <cell r="IU14">
            <v>9.8</v>
          </cell>
          <cell r="IV14">
            <v>10.04</v>
          </cell>
          <cell r="IW14">
            <v>9.84</v>
          </cell>
          <cell r="IX14">
            <v>9.71</v>
          </cell>
          <cell r="IY14">
            <v>9.73</v>
          </cell>
          <cell r="IZ14">
            <v>9.8</v>
          </cell>
          <cell r="JA14">
            <v>9.59</v>
          </cell>
          <cell r="JB14">
            <v>9.22</v>
          </cell>
          <cell r="JC14">
            <v>8.75</v>
          </cell>
          <cell r="JD14">
            <v>8.64</v>
          </cell>
          <cell r="JE14">
            <v>9.68</v>
          </cell>
          <cell r="JF14">
            <v>9.79</v>
          </cell>
          <cell r="JG14">
            <v>9.61</v>
          </cell>
          <cell r="JH14">
            <v>9.09</v>
          </cell>
          <cell r="JI14">
            <v>8.67</v>
          </cell>
          <cell r="JJ14">
            <v>8.74</v>
          </cell>
          <cell r="JK14">
            <v>8.82</v>
          </cell>
          <cell r="JL14">
            <v>8.94</v>
          </cell>
          <cell r="JM14">
            <v>9.02</v>
          </cell>
          <cell r="JN14">
            <v>9.15</v>
          </cell>
          <cell r="JO14">
            <v>9.13</v>
          </cell>
          <cell r="JP14">
            <v>9.04</v>
          </cell>
          <cell r="JQ14">
            <v>8.05</v>
          </cell>
          <cell r="JR14">
            <v>7.45</v>
          </cell>
          <cell r="JS14">
            <v>7.45</v>
          </cell>
          <cell r="JT14">
            <v>7.66</v>
          </cell>
          <cell r="JU14">
            <v>8.04</v>
          </cell>
          <cell r="JV14">
            <v>8.23</v>
          </cell>
          <cell r="JW14">
            <v>8.38</v>
          </cell>
          <cell r="JX14">
            <v>8.46</v>
          </cell>
          <cell r="JY14">
            <v>8.5</v>
          </cell>
          <cell r="JZ14">
            <v>8.49</v>
          </cell>
          <cell r="KA14">
            <v>8.54</v>
          </cell>
          <cell r="KB14">
            <v>8.6</v>
          </cell>
          <cell r="KC14">
            <v>8.58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13" workbookViewId="0">
      <selection activeCell="D26" sqref="D26"/>
    </sheetView>
  </sheetViews>
  <sheetFormatPr defaultColWidth="9" defaultRowHeight="14.25"/>
  <cols>
    <col min="1" max="1" width="8.91666666666667" customWidth="1"/>
    <col min="2" max="2" width="11.875" customWidth="1"/>
    <col min="3" max="3" width="13.375" customWidth="1"/>
    <col min="4" max="4" width="11.875" style="33" customWidth="1"/>
    <col min="5" max="5" width="14" customWidth="1"/>
    <col min="6" max="6" width="9.875" style="33" customWidth="1"/>
    <col min="9" max="9" width="19.7333333333333" customWidth="1"/>
    <col min="10" max="10" width="17.8416666666667" customWidth="1"/>
    <col min="11" max="11" width="9.33333333333333"/>
  </cols>
  <sheetData>
    <row r="1" ht="18.75" spans="1:8">
      <c r="A1" s="3" t="s">
        <v>0</v>
      </c>
      <c r="B1" s="3"/>
      <c r="C1" s="3"/>
      <c r="D1" s="36"/>
      <c r="E1" s="3"/>
      <c r="F1" s="36"/>
      <c r="G1" s="3"/>
      <c r="H1" s="3"/>
    </row>
    <row r="2" spans="1:8">
      <c r="A2" s="4" t="s">
        <v>1</v>
      </c>
      <c r="B2" s="4"/>
      <c r="C2" s="4"/>
      <c r="D2" s="37"/>
      <c r="E2" s="4"/>
      <c r="F2" s="37"/>
      <c r="G2" s="4"/>
      <c r="H2" s="4"/>
    </row>
    <row r="3" spans="1:10">
      <c r="A3" s="5" t="s">
        <v>2</v>
      </c>
      <c r="B3" s="6" t="s">
        <v>3</v>
      </c>
      <c r="C3" s="6" t="s">
        <v>4</v>
      </c>
      <c r="D3" s="30" t="s">
        <v>5</v>
      </c>
      <c r="E3" s="6" t="s">
        <v>6</v>
      </c>
      <c r="F3" s="30" t="s">
        <v>5</v>
      </c>
      <c r="G3" s="5" t="s">
        <v>7</v>
      </c>
      <c r="H3" s="5" t="s">
        <v>8</v>
      </c>
      <c r="I3" s="34" t="s">
        <v>9</v>
      </c>
      <c r="J3" s="34" t="s">
        <v>10</v>
      </c>
    </row>
    <row r="4" spans="1:10">
      <c r="A4" s="26">
        <v>45292</v>
      </c>
      <c r="B4" s="8">
        <f>IF(A4&lt;&gt;"",INDEX('[1]01-数据'!$C$2:$ND$2,MATCH(A4,'[1]01-数据'!$C$1:$ND$1))," ")</f>
        <v>242.48</v>
      </c>
      <c r="C4" s="8">
        <f>IF(A4&lt;&gt;"",INDEX('[1]01-数据'!$C$3:$ND$3,MATCH(A4,'[1]01-数据'!$C$1:$ND$1))," ")</f>
        <v>242.48</v>
      </c>
      <c r="D4" s="9">
        <f>IF(A4&lt;&gt;"",INDEX('[1]01-数据'!$C$4:$ND$4,MATCH(A4,'[1]01-数据'!$C$1:$ND$1))," ")</f>
        <v>0.0698</v>
      </c>
      <c r="E4" s="8">
        <f>IF(A4&lt;&gt;"",INDEX('[1]01-数据'!$C$6:$ND$6,MATCH(A4,'[1]01-数据'!$C$1:$ND$1))," ")</f>
        <v>242.48</v>
      </c>
      <c r="F4" s="14">
        <f>IF(A4&lt;&gt;"",INDEX('[1]01-数据'!$C$7:$ND$7,MATCH(A4,'[1]01-数据'!$C$1:$ND$1))," ")</f>
        <v>0.0698</v>
      </c>
      <c r="G4" s="8">
        <f>IF(A4&lt;&gt;"",INDEX('[1]01-数据'!$C$11:$ND$11,MATCH(A4,'[1]01-数据'!$C$1:$ND$1))," ")</f>
        <v>10.77</v>
      </c>
      <c r="H4" s="8">
        <f>IF(A4&lt;&gt;"",INDEX('[1]01-数据'!$C$14:$ND$14,MATCH(A4,'[1]01-数据'!$C$1:$ND$1))," ")</f>
        <v>8.54</v>
      </c>
      <c r="I4" s="38">
        <v>194.09</v>
      </c>
      <c r="J4" s="35">
        <f>C4/I4-1</f>
        <v>0.249317327013241</v>
      </c>
    </row>
    <row r="5" spans="1:10">
      <c r="A5" s="25">
        <v>45293</v>
      </c>
      <c r="B5" s="11">
        <f>IF(A5&lt;&gt;"",INDEX('[1]01-数据'!$C$2:$ND$2,MATCH(A5,'[1]01-数据'!$C$1:$ND$1))," ")</f>
        <v>262.6</v>
      </c>
      <c r="C5" s="11">
        <f>IF(A5&lt;&gt;"",INDEX('[1]01-数据'!$C$3:$ND$3,MATCH(A5,'[1]01-数据'!$C$1:$ND$1))," ")</f>
        <v>505.09</v>
      </c>
      <c r="D5" s="12">
        <f>IF(A5&lt;&gt;"",INDEX('[1]01-数据'!$C$4:$ND$4,MATCH(A5,'[1]01-数据'!$C$1:$ND$1))," ")</f>
        <v>0.0963</v>
      </c>
      <c r="E5" s="11">
        <f>IF(A5&lt;&gt;"",INDEX('[1]01-数据'!$C$6:$ND$6,MATCH(A5,'[1]01-数据'!$C$1:$ND$1))," ")</f>
        <v>505.09</v>
      </c>
      <c r="F5" s="15">
        <f>IF(A5&lt;&gt;"",INDEX('[1]01-数据'!$C$7:$ND$7,MATCH(A5,'[1]01-数据'!$C$1:$ND$1))," ")</f>
        <v>0.0963</v>
      </c>
      <c r="G5" s="11">
        <f>IF(A5&lt;&gt;"",INDEX('[1]01-数据'!$C$11:$ND$11,MATCH(A5,'[1]01-数据'!$C$1:$ND$1))," ")</f>
        <v>11.87</v>
      </c>
      <c r="H5" s="11">
        <f>IF(A5&lt;&gt;"",INDEX('[1]01-数据'!$C$14:$ND$14,MATCH(A5,'[1]01-数据'!$C$1:$ND$1))," ")</f>
        <v>8.4</v>
      </c>
      <c r="I5" s="38">
        <v>403.64</v>
      </c>
      <c r="J5" s="35">
        <f t="shared" ref="J5:J35" si="0">C5/I5-1</f>
        <v>0.251337825785353</v>
      </c>
    </row>
    <row r="6" spans="1:10">
      <c r="A6" s="25">
        <v>45294</v>
      </c>
      <c r="B6" s="11">
        <f>IF(A6&lt;&gt;"",INDEX('[1]01-数据'!$C$2:$ND$2,MATCH(A6,'[1]01-数据'!$C$1:$ND$1))," ")</f>
        <v>268.86</v>
      </c>
      <c r="C6" s="11">
        <f>IF(A6&lt;&gt;"",INDEX('[1]01-数据'!$C$3:$ND$3,MATCH(A6,'[1]01-数据'!$C$1:$ND$1))," ")</f>
        <v>773.94</v>
      </c>
      <c r="D6" s="12">
        <f>IF(A6&lt;&gt;"",INDEX('[1]01-数据'!$C$4:$ND$4,MATCH(A6,'[1]01-数据'!$C$1:$ND$1))," ")</f>
        <v>0.1016</v>
      </c>
      <c r="E6" s="11">
        <f>IF(A6&lt;&gt;"",INDEX('[1]01-数据'!$C$6:$ND$6,MATCH(A6,'[1]01-数据'!$C$1:$ND$1))," ")</f>
        <v>773.94</v>
      </c>
      <c r="F6" s="15">
        <f>IF(A6&lt;&gt;"",INDEX('[1]01-数据'!$C$7:$ND$7,MATCH(A6,'[1]01-数据'!$C$1:$ND$1))," ")</f>
        <v>0.1016</v>
      </c>
      <c r="G6" s="11">
        <f>IF(A6&lt;&gt;"",INDEX('[1]01-数据'!$C$11:$ND$11,MATCH(A6,'[1]01-数据'!$C$1:$ND$1))," ")</f>
        <v>12.01</v>
      </c>
      <c r="H6" s="11">
        <f>IF(A6&lt;&gt;"",INDEX('[1]01-数据'!$C$14:$ND$14,MATCH(A6,'[1]01-数据'!$C$1:$ND$1))," ")</f>
        <v>9.09</v>
      </c>
      <c r="I6" s="38">
        <v>617.56</v>
      </c>
      <c r="J6" s="35">
        <f t="shared" si="0"/>
        <v>0.253222358961073</v>
      </c>
    </row>
    <row r="7" spans="1:10">
      <c r="A7" s="25">
        <v>45295</v>
      </c>
      <c r="B7" s="11">
        <f>IF(A7&lt;&gt;"",INDEX('[1]01-数据'!$C$2:$ND$2,MATCH(A7,'[1]01-数据'!$C$1:$ND$1))," ")</f>
        <v>270.42</v>
      </c>
      <c r="C7" s="11">
        <f>IF(A7&lt;&gt;"",INDEX('[1]01-数据'!$C$3:$ND$3,MATCH(A7,'[1]01-数据'!$C$1:$ND$1))," ")</f>
        <v>1044.36</v>
      </c>
      <c r="D7" s="12">
        <f>IF(A7&lt;&gt;"",INDEX('[1]01-数据'!$C$4:$ND$4,MATCH(A7,'[1]01-数据'!$C$1:$ND$1))," ")</f>
        <v>0.1064</v>
      </c>
      <c r="E7" s="11">
        <f>IF(A7&lt;&gt;"",INDEX('[1]01-数据'!$C$6:$ND$6,MATCH(A7,'[1]01-数据'!$C$1:$ND$1))," ")</f>
        <v>1044.36</v>
      </c>
      <c r="F7" s="15">
        <f>IF(A7&lt;&gt;"",INDEX('[1]01-数据'!$C$7:$ND$7,MATCH(A7,'[1]01-数据'!$C$1:$ND$1))," ")</f>
        <v>0.1064</v>
      </c>
      <c r="G7" s="11">
        <f>IF(A7&lt;&gt;"",INDEX('[1]01-数据'!$C$11:$ND$11,MATCH(A7,'[1]01-数据'!$C$1:$ND$1))," ")</f>
        <v>11.97</v>
      </c>
      <c r="H7" s="11">
        <f>IF(A7&lt;&gt;"",INDEX('[1]01-数据'!$C$14:$ND$14,MATCH(A7,'[1]01-数据'!$C$1:$ND$1))," ")</f>
        <v>9.2</v>
      </c>
      <c r="I7" s="38">
        <v>830.36</v>
      </c>
      <c r="J7" s="35">
        <f t="shared" si="0"/>
        <v>0.257719543330603</v>
      </c>
    </row>
    <row r="8" spans="1:10">
      <c r="A8" s="25">
        <v>45296</v>
      </c>
      <c r="B8" s="11">
        <f>IF(A8&lt;&gt;"",INDEX('[1]01-数据'!$C$2:$ND$2,MATCH(A8,'[1]01-数据'!$C$1:$ND$1))," ")</f>
        <v>268.49</v>
      </c>
      <c r="C8" s="11">
        <f>IF(A8&lt;&gt;"",INDEX('[1]01-数据'!$C$3:$ND$3,MATCH(A8,'[1]01-数据'!$C$1:$ND$1))," ")</f>
        <v>1312.85</v>
      </c>
      <c r="D8" s="12">
        <f>IF(A8&lt;&gt;"",INDEX('[1]01-数据'!$C$4:$ND$4,MATCH(A8,'[1]01-数据'!$C$1:$ND$1))," ")</f>
        <v>0.1104</v>
      </c>
      <c r="E8" s="11">
        <f>IF(A8&lt;&gt;"",INDEX('[1]01-数据'!$C$6:$ND$6,MATCH(A8,'[1]01-数据'!$C$1:$ND$1))," ")</f>
        <v>1312.85</v>
      </c>
      <c r="F8" s="15">
        <f>IF(A8&lt;&gt;"",INDEX('[1]01-数据'!$C$7:$ND$7,MATCH(A8,'[1]01-数据'!$C$1:$ND$1))," ")</f>
        <v>0.1104</v>
      </c>
      <c r="G8" s="11">
        <f>IF(A8&lt;&gt;"",INDEX('[1]01-数据'!$C$11:$ND$11,MATCH(A8,'[1]01-数据'!$C$1:$ND$1))," ")</f>
        <v>11.86</v>
      </c>
      <c r="H8" s="11">
        <f>IF(A8&lt;&gt;"",INDEX('[1]01-数据'!$C$14:$ND$14,MATCH(A8,'[1]01-数据'!$C$1:$ND$1))," ")</f>
        <v>9.17</v>
      </c>
      <c r="I8" s="38">
        <v>1039.81</v>
      </c>
      <c r="J8" s="35">
        <f t="shared" si="0"/>
        <v>0.262586434060069</v>
      </c>
    </row>
    <row r="9" spans="1:10">
      <c r="A9" s="26">
        <v>45297</v>
      </c>
      <c r="B9" s="8">
        <f>IF(A9&lt;&gt;"",INDEX('[1]01-数据'!$C$2:$ND$2,MATCH(A9,'[1]01-数据'!$C$1:$ND$1))," ")</f>
        <v>265.57</v>
      </c>
      <c r="C9" s="8">
        <f>IF(A9&lt;&gt;"",INDEX('[1]01-数据'!$C$3:$ND$3,MATCH(A9,'[1]01-数据'!$C$1:$ND$1))," ")</f>
        <v>1578.42</v>
      </c>
      <c r="D9" s="9">
        <f>IF(A9&lt;&gt;"",INDEX('[1]01-数据'!$C$4:$ND$4,MATCH(A9,'[1]01-数据'!$C$1:$ND$1))," ")</f>
        <v>0.1152</v>
      </c>
      <c r="E9" s="8">
        <f>IF(A9&lt;&gt;"",INDEX('[1]01-数据'!$C$6:$ND$6,MATCH(A9,'[1]01-数据'!$C$1:$ND$1))," ")</f>
        <v>1578.42</v>
      </c>
      <c r="F9" s="14">
        <f>IF(A9&lt;&gt;"",INDEX('[1]01-数据'!$C$7:$ND$7,MATCH(A9,'[1]01-数据'!$C$1:$ND$1))," ")</f>
        <v>0.1152</v>
      </c>
      <c r="G9" s="8">
        <f>IF(A9&lt;&gt;"",INDEX('[1]01-数据'!$C$11:$ND$11,MATCH(A9,'[1]01-数据'!$C$1:$ND$1))," ")</f>
        <v>11.61</v>
      </c>
      <c r="H9" s="8">
        <f>IF(A9&lt;&gt;"",INDEX('[1]01-数据'!$C$14:$ND$14,MATCH(A9,'[1]01-数据'!$C$1:$ND$1))," ")</f>
        <v>9.15</v>
      </c>
      <c r="I9" s="38">
        <v>1244.96</v>
      </c>
      <c r="J9" s="35">
        <f t="shared" si="0"/>
        <v>0.267847962986763</v>
      </c>
    </row>
    <row r="10" spans="1:10">
      <c r="A10" s="26">
        <v>45298</v>
      </c>
      <c r="B10" s="8">
        <f>IF(A10&lt;&gt;"",INDEX('[1]01-数据'!$C$2:$ND$2,MATCH(A10,'[1]01-数据'!$C$1:$ND$1))," ")</f>
        <v>263.31</v>
      </c>
      <c r="C10" s="8">
        <f>IF(A10&lt;&gt;"",INDEX('[1]01-数据'!$C$3:$ND$3,MATCH(A10,'[1]01-数据'!$C$1:$ND$1))," ")</f>
        <v>1841.73</v>
      </c>
      <c r="D10" s="9">
        <f>IF(A10&lt;&gt;"",INDEX('[1]01-数据'!$C$4:$ND$4,MATCH(A10,'[1]01-数据'!$C$1:$ND$1))," ")</f>
        <v>0.1205</v>
      </c>
      <c r="E10" s="8">
        <f>IF(A10&lt;&gt;"",INDEX('[1]01-数据'!$C$6:$ND$6,MATCH(A10,'[1]01-数据'!$C$1:$ND$1))," ")</f>
        <v>1841.73</v>
      </c>
      <c r="F10" s="14">
        <f>IF(A10&lt;&gt;"",INDEX('[1]01-数据'!$C$7:$ND$7,MATCH(A10,'[1]01-数据'!$C$1:$ND$1))," ")</f>
        <v>0.1205</v>
      </c>
      <c r="G10" s="8">
        <f>IF(A10&lt;&gt;"",INDEX('[1]01-数据'!$C$11:$ND$11,MATCH(A10,'[1]01-数据'!$C$1:$ND$1))," ")</f>
        <v>11.62</v>
      </c>
      <c r="H10" s="8">
        <f>IF(A10&lt;&gt;"",INDEX('[1]01-数据'!$C$14:$ND$14,MATCH(A10,'[1]01-数据'!$C$1:$ND$1))," ")</f>
        <v>9.11</v>
      </c>
      <c r="I10" s="38">
        <v>1455.3</v>
      </c>
      <c r="J10" s="35">
        <f t="shared" si="0"/>
        <v>0.265532879818594</v>
      </c>
    </row>
    <row r="11" spans="1:10">
      <c r="A11" s="25">
        <v>45299</v>
      </c>
      <c r="B11" s="11">
        <f>IF(A11&lt;&gt;"",INDEX('[1]01-数据'!$C$2:$ND$2,MATCH(A11,'[1]01-数据'!$C$1:$ND$1))," ")</f>
        <v>271.96</v>
      </c>
      <c r="C11" s="11">
        <f>IF(A11&lt;&gt;"",INDEX('[1]01-数据'!$C$3:$ND$3,MATCH(A11,'[1]01-数据'!$C$1:$ND$1))," ")</f>
        <v>2113.7</v>
      </c>
      <c r="D11" s="12">
        <f>IF(A11&lt;&gt;"",INDEX('[1]01-数据'!$C$4:$ND$4,MATCH(A11,'[1]01-数据'!$C$1:$ND$1))," ")</f>
        <v>0.1322</v>
      </c>
      <c r="E11" s="11">
        <f>IF(A11&lt;&gt;"",INDEX('[1]01-数据'!$C$6:$ND$6,MATCH(A11,'[1]01-数据'!$C$1:$ND$1))," ")</f>
        <v>2113.7</v>
      </c>
      <c r="F11" s="15">
        <f>IF(A11&lt;&gt;"",INDEX('[1]01-数据'!$C$7:$ND$7,MATCH(A11,'[1]01-数据'!$C$1:$ND$1))," ")</f>
        <v>0.1322</v>
      </c>
      <c r="G11" s="11">
        <f>IF(A11&lt;&gt;"",INDEX('[1]01-数据'!$C$11:$ND$11,MATCH(A11,'[1]01-数据'!$C$1:$ND$1))," ")</f>
        <v>12.18</v>
      </c>
      <c r="H11" s="11">
        <f>IF(A11&lt;&gt;"",INDEX('[1]01-数据'!$C$14:$ND$14,MATCH(A11,'[1]01-数据'!$C$1:$ND$1))," ")</f>
        <v>9.03</v>
      </c>
      <c r="I11" s="38">
        <v>1666.72</v>
      </c>
      <c r="J11" s="35">
        <f t="shared" si="0"/>
        <v>0.268179418258616</v>
      </c>
    </row>
    <row r="12" spans="1:10">
      <c r="A12" s="25">
        <v>45300</v>
      </c>
      <c r="B12" s="11">
        <f>IF(A12&lt;&gt;"",INDEX('[1]01-数据'!$C$2:$ND$2,MATCH(A12,'[1]01-数据'!$C$1:$ND$1))," ")</f>
        <v>269.83</v>
      </c>
      <c r="C12" s="11">
        <f>IF(A12&lt;&gt;"",INDEX('[1]01-数据'!$C$3:$ND$3,MATCH(A12,'[1]01-数据'!$C$1:$ND$1))," ")</f>
        <v>2383.53</v>
      </c>
      <c r="D12" s="12">
        <f>IF(A12&lt;&gt;"",INDEX('[1]01-数据'!$C$4:$ND$4,MATCH(A12,'[1]01-数据'!$C$1:$ND$1))," ")</f>
        <v>0.1389</v>
      </c>
      <c r="E12" s="11">
        <f>IF(A12&lt;&gt;"",INDEX('[1]01-数据'!$C$6:$ND$6,MATCH(A12,'[1]01-数据'!$C$1:$ND$1))," ")</f>
        <v>2383.53</v>
      </c>
      <c r="F12" s="15">
        <f>IF(A12&lt;&gt;"",INDEX('[1]01-数据'!$C$7:$ND$7,MATCH(A12,'[1]01-数据'!$C$1:$ND$1))," ")</f>
        <v>0.1389</v>
      </c>
      <c r="G12" s="11">
        <f>IF(A12&lt;&gt;"",INDEX('[1]01-数据'!$C$11:$ND$11,MATCH(A12,'[1]01-数据'!$C$1:$ND$1))," ")</f>
        <v>11.98</v>
      </c>
      <c r="H12" s="11">
        <f>IF(A12&lt;&gt;"",INDEX('[1]01-数据'!$C$14:$ND$14,MATCH(A12,'[1]01-数据'!$C$1:$ND$1))," ")</f>
        <v>9.2</v>
      </c>
      <c r="I12" s="38">
        <v>1880.15</v>
      </c>
      <c r="J12" s="35">
        <f t="shared" si="0"/>
        <v>0.267733957397016</v>
      </c>
    </row>
    <row r="13" spans="1:11">
      <c r="A13" s="25">
        <v>45301</v>
      </c>
      <c r="B13" s="11">
        <f>IF(A13&lt;&gt;"",INDEX('[1]01-数据'!$C$2:$ND$2,MATCH(A13,'[1]01-数据'!$C$1:$ND$1))," ")</f>
        <v>271.63</v>
      </c>
      <c r="C13" s="11">
        <f>IF(A13&lt;&gt;"",INDEX('[1]01-数据'!$C$3:$ND$3,MATCH(A13,'[1]01-数据'!$C$1:$ND$1))," ")</f>
        <v>2655.16</v>
      </c>
      <c r="D13" s="12">
        <f>IF(A13&lt;&gt;"",INDEX('[1]01-数据'!$C$4:$ND$4,MATCH(A13,'[1]01-数据'!$C$1:$ND$1))," ")</f>
        <v>0.1459</v>
      </c>
      <c r="E13" s="11">
        <f>IF(A13&lt;&gt;"",INDEX('[1]01-数据'!$C$6:$ND$6,MATCH(A13,'[1]01-数据'!$C$1:$ND$1))," ")</f>
        <v>2655.16</v>
      </c>
      <c r="F13" s="15">
        <f>IF(A13&lt;&gt;"",INDEX('[1]01-数据'!$C$7:$ND$7,MATCH(A13,'[1]01-数据'!$C$1:$ND$1))," ")</f>
        <v>0.1459</v>
      </c>
      <c r="G13" s="11">
        <f>IF(A13&lt;&gt;"",INDEX('[1]01-数据'!$C$11:$ND$11,MATCH(A13,'[1]01-数据'!$C$1:$ND$1))," ")</f>
        <v>12.01</v>
      </c>
      <c r="H13" s="11">
        <f>IF(A13&lt;&gt;"",INDEX('[1]01-数据'!$C$14:$ND$14,MATCH(A13,'[1]01-数据'!$C$1:$ND$1))," ")</f>
        <v>9.2</v>
      </c>
      <c r="I13" s="38">
        <v>2091.96</v>
      </c>
      <c r="J13" s="35">
        <f t="shared" si="0"/>
        <v>0.269221208818524</v>
      </c>
      <c r="K13" s="17"/>
    </row>
    <row r="14" spans="1:11">
      <c r="A14" s="25">
        <v>45302</v>
      </c>
      <c r="B14" s="11">
        <f>IF(A14&lt;&gt;"",INDEX('[1]01-数据'!$C$2:$ND$2,MATCH(A14,'[1]01-数据'!$C$1:$ND$1))," ")</f>
        <v>268.86</v>
      </c>
      <c r="C14" s="11">
        <f>IF(A14&lt;&gt;"",INDEX('[1]01-数据'!$C$3:$ND$3,MATCH(A14,'[1]01-数据'!$C$1:$ND$1))," ")</f>
        <v>2924.02</v>
      </c>
      <c r="D14" s="12">
        <f>IF(A14&lt;&gt;"",INDEX('[1]01-数据'!$C$4:$ND$4,MATCH(A14,'[1]01-数据'!$C$1:$ND$1))," ")</f>
        <v>0.1511</v>
      </c>
      <c r="E14" s="11">
        <f>IF(A14&lt;&gt;"",INDEX('[1]01-数据'!$C$6:$ND$6,MATCH(A14,'[1]01-数据'!$C$1:$ND$1))," ")</f>
        <v>2926.02</v>
      </c>
      <c r="F14" s="15">
        <f>IF(A14&lt;&gt;"",INDEX('[1]01-数据'!$C$7:$ND$7,MATCH(A14,'[1]01-数据'!$C$1:$ND$1))," ")</f>
        <v>0.1511</v>
      </c>
      <c r="G14" s="11">
        <f>IF(A14&lt;&gt;"",INDEX('[1]01-数据'!$C$11:$ND$11,MATCH(A14,'[1]01-数据'!$C$1:$ND$1))," ")</f>
        <v>11.93</v>
      </c>
      <c r="H14" s="11">
        <f>IF(A14&lt;&gt;"",INDEX('[1]01-数据'!$C$14:$ND$14,MATCH(A14,'[1]01-数据'!$C$1:$ND$1))," ")</f>
        <v>9.2</v>
      </c>
      <c r="I14" s="38">
        <v>2301.3</v>
      </c>
      <c r="J14" s="35">
        <f t="shared" si="0"/>
        <v>0.27059488115413</v>
      </c>
      <c r="K14" s="17"/>
    </row>
    <row r="15" spans="1:11">
      <c r="A15" s="25">
        <v>45303</v>
      </c>
      <c r="B15" s="11">
        <f>IF(A15&lt;&gt;"",INDEX('[1]01-数据'!$C$2:$ND$2,MATCH(A15,'[1]01-数据'!$C$1:$ND$1))," ")</f>
        <v>266.03</v>
      </c>
      <c r="C15" s="11">
        <f>IF(A15&lt;&gt;"",INDEX('[1]01-数据'!$C$3:$ND$3,MATCH(A15,'[1]01-数据'!$C$1:$ND$1))," ")</f>
        <v>3190.05</v>
      </c>
      <c r="D15" s="12">
        <f>IF(A15&lt;&gt;"",INDEX('[1]01-数据'!$C$4:$ND$4,MATCH(A15,'[1]01-数据'!$C$1:$ND$1))," ")</f>
        <v>0.1564</v>
      </c>
      <c r="E15" s="11">
        <f>IF(A15&lt;&gt;"",INDEX('[1]01-数据'!$C$6:$ND$6,MATCH(A15,'[1]01-数据'!$C$1:$ND$1))," ")</f>
        <v>3190.05</v>
      </c>
      <c r="F15" s="15">
        <f>IF(A15&lt;&gt;"",INDEX('[1]01-数据'!$C$7:$ND$7,MATCH(A15,'[1]01-数据'!$C$1:$ND$1))," ")</f>
        <v>0.1564</v>
      </c>
      <c r="G15" s="11">
        <f>IF(A15&lt;&gt;"",INDEX('[1]01-数据'!$C$11:$ND$11,MATCH(A15,'[1]01-数据'!$C$1:$ND$1))," ")</f>
        <v>11.81</v>
      </c>
      <c r="H15" s="11">
        <f>IF(A15&lt;&gt;"",INDEX('[1]01-数据'!$C$14:$ND$14,MATCH(A15,'[1]01-数据'!$C$1:$ND$1))," ")</f>
        <v>9.13</v>
      </c>
      <c r="I15" s="38">
        <v>2506.72</v>
      </c>
      <c r="J15" s="35">
        <f t="shared" si="0"/>
        <v>0.272599253207379</v>
      </c>
      <c r="K15" s="17"/>
    </row>
    <row r="16" spans="1:10">
      <c r="A16" s="26">
        <v>45304</v>
      </c>
      <c r="B16" s="8">
        <f>IF(A16&lt;&gt;"",INDEX('[1]01-数据'!$C$2:$ND$2,MATCH(A16,'[1]01-数据'!$C$1:$ND$1))," ")</f>
        <v>260.87</v>
      </c>
      <c r="C16" s="8">
        <f>IF(A16&lt;&gt;"",INDEX('[1]01-数据'!$C$3:$ND$3,MATCH(A16,'[1]01-数据'!$C$1:$ND$1))," ")</f>
        <v>3450.92</v>
      </c>
      <c r="D16" s="9">
        <f>IF(A16&lt;&gt;"",INDEX('[1]01-数据'!$C$4:$ND$4,MATCH(A16,'[1]01-数据'!$C$1:$ND$1))," ")</f>
        <v>0.1601</v>
      </c>
      <c r="E16" s="8">
        <f>IF(A16&lt;&gt;"",INDEX('[1]01-数据'!$C$6:$ND$6,MATCH(A16,'[1]01-数据'!$C$1:$ND$1))," ")</f>
        <v>3450.92</v>
      </c>
      <c r="F16" s="14">
        <f>IF(A16&lt;&gt;"",INDEX('[1]01-数据'!$C$7:$ND$7,MATCH(A16,'[1]01-数据'!$C$1:$ND$1))," ")</f>
        <v>0.1601</v>
      </c>
      <c r="G16" s="8">
        <f>IF(A16&lt;&gt;"",INDEX('[1]01-数据'!$C$11:$ND$11,MATCH(A16,'[1]01-数据'!$C$1:$ND$1))," ")</f>
        <v>11.44</v>
      </c>
      <c r="H16" s="8">
        <f>IF(A16&lt;&gt;"",INDEX('[1]01-数据'!$C$14:$ND$14,MATCH(A16,'[1]01-数据'!$C$1:$ND$1))," ")</f>
        <v>9.06</v>
      </c>
      <c r="I16" s="38">
        <v>2706.38</v>
      </c>
      <c r="J16" s="35">
        <f t="shared" si="0"/>
        <v>0.275105491468308</v>
      </c>
    </row>
    <row r="17" spans="1:10">
      <c r="A17" s="26">
        <v>45305</v>
      </c>
      <c r="B17" s="8">
        <f>IF(A17&lt;&gt;"",INDEX('[1]01-数据'!$C$2:$ND$2,MATCH(A17,'[1]01-数据'!$C$1:$ND$1))," ")</f>
        <v>255.73</v>
      </c>
      <c r="C17" s="8">
        <f>IF(A17&lt;&gt;"",INDEX('[1]01-数据'!$C$3:$ND$3,MATCH(A17,'[1]01-数据'!$C$1:$ND$1))," ")</f>
        <v>3706.65</v>
      </c>
      <c r="D17" s="9">
        <f>IF(A17&lt;&gt;"",INDEX('[1]01-数据'!$C$4:$ND$4,MATCH(A17,'[1]01-数据'!$C$1:$ND$1))," ")</f>
        <v>0.1608</v>
      </c>
      <c r="E17" s="8">
        <f>IF(A17&lt;&gt;"",INDEX('[1]01-数据'!$C$6:$ND$6,MATCH(A17,'[1]01-数据'!$C$1:$ND$1))," ")</f>
        <v>3706.65</v>
      </c>
      <c r="F17" s="14">
        <f>IF(A17&lt;&gt;"",INDEX('[1]01-数据'!$C$7:$ND$7,MATCH(A17,'[1]01-数据'!$C$1:$ND$1))," ")</f>
        <v>0.1608</v>
      </c>
      <c r="G17" s="8">
        <f>IF(A17&lt;&gt;"",INDEX('[1]01-数据'!$C$11:$ND$11,MATCH(A17,'[1]01-数据'!$C$1:$ND$1))," ")</f>
        <v>11.2</v>
      </c>
      <c r="H17" s="8">
        <f>IF(A17&lt;&gt;"",INDEX('[1]01-数据'!$C$14:$ND$14,MATCH(A17,'[1]01-数据'!$C$1:$ND$1))," ")</f>
        <v>8.86</v>
      </c>
      <c r="I17" s="38">
        <v>2911.1</v>
      </c>
      <c r="J17" s="35">
        <f t="shared" si="0"/>
        <v>0.273281577410601</v>
      </c>
    </row>
    <row r="18" spans="1:10">
      <c r="A18" s="25">
        <v>45306</v>
      </c>
      <c r="B18" s="11">
        <f>IF(A18&lt;&gt;"",INDEX('[1]01-数据'!$C$2:$ND$2,MATCH(A18,'[1]01-数据'!$C$1:$ND$1))," ")</f>
        <v>266.33</v>
      </c>
      <c r="C18" s="11">
        <f>IF(A18&lt;&gt;"",INDEX('[1]01-数据'!$C$3:$ND$3,MATCH(A18,'[1]01-数据'!$C$1:$ND$1))," ")</f>
        <v>3972.79</v>
      </c>
      <c r="D18" s="12">
        <f>IF(A18&lt;&gt;"",INDEX('[1]01-数据'!$C$4:$ND$4,MATCH(A18,'[1]01-数据'!$C$1:$ND$1))," ")</f>
        <v>0.1631</v>
      </c>
      <c r="E18" s="11">
        <f>IF(A18&lt;&gt;"",INDEX('[1]01-数据'!$C$6:$ND$6,MATCH(A18,'[1]01-数据'!$C$1:$ND$1))," ")</f>
        <v>3972.79</v>
      </c>
      <c r="F18" s="15">
        <f>IF(A18&lt;&gt;"",INDEX('[1]01-数据'!$C$7:$ND$7,MATCH(A18,'[1]01-数据'!$C$1:$ND$1))," ")</f>
        <v>0.1631</v>
      </c>
      <c r="G18" s="11">
        <f>IF(A18&lt;&gt;"",INDEX('[1]01-数据'!$C$11:$ND$11,MATCH(A18,'[1]01-数据'!$C$1:$ND$1))," ")</f>
        <v>11.86</v>
      </c>
      <c r="H18" s="11">
        <f>IF(A18&lt;&gt;"",INDEX('[1]01-数据'!$C$14:$ND$14,MATCH(A18,'[1]01-数据'!$C$1:$ND$1))," ")</f>
        <v>8.86</v>
      </c>
      <c r="I18" s="38">
        <v>3120.02</v>
      </c>
      <c r="J18" s="35">
        <f t="shared" si="0"/>
        <v>0.273321965884834</v>
      </c>
    </row>
    <row r="19" spans="1:10">
      <c r="A19" s="25">
        <v>45307</v>
      </c>
      <c r="B19" s="11">
        <f>IF(A19&lt;&gt;"",INDEX('[1]01-数据'!$C$2:$ND$2,MATCH(A19,'[1]01-数据'!$C$1:$ND$1))," ")</f>
        <v>270.7</v>
      </c>
      <c r="C19" s="11">
        <f>IF(A19&lt;&gt;"",INDEX('[1]01-数据'!$C$3:$ND$3,MATCH(A19,'[1]01-数据'!$C$1:$ND$1))," ")</f>
        <v>4243.49</v>
      </c>
      <c r="D19" s="12">
        <f>IF(A19&lt;&gt;"",INDEX('[1]01-数据'!$C$4:$ND$4,MATCH(A19,'[1]01-数据'!$C$1:$ND$1))," ")</f>
        <v>0.1658</v>
      </c>
      <c r="E19" s="11">
        <f>IF(A19&lt;&gt;"",INDEX('[1]01-数据'!$C$6:$ND$6,MATCH(A19,'[1]01-数据'!$C$1:$ND$1))," ")</f>
        <v>4243.49</v>
      </c>
      <c r="F19" s="15">
        <f>IF(A19&lt;&gt;"",INDEX('[1]01-数据'!$C$7:$ND$7,MATCH(A19,'[1]01-数据'!$C$1:$ND$1))," ")</f>
        <v>0.1658</v>
      </c>
      <c r="G19" s="11">
        <f>IF(A19&lt;&gt;"",INDEX('[1]01-数据'!$C$11:$ND$11,MATCH(A19,'[1]01-数据'!$C$1:$ND$1))," ")</f>
        <v>12</v>
      </c>
      <c r="H19" s="11">
        <f>IF(A19&lt;&gt;"",INDEX('[1]01-数据'!$C$14:$ND$14,MATCH(A19,'[1]01-数据'!$C$1:$ND$1))," ")</f>
        <v>9.13</v>
      </c>
      <c r="I19" s="38">
        <v>3328.43</v>
      </c>
      <c r="J19" s="35">
        <f t="shared" si="0"/>
        <v>0.274922410866384</v>
      </c>
    </row>
    <row r="20" spans="1:10">
      <c r="A20" s="25">
        <v>45308</v>
      </c>
      <c r="B20" s="11">
        <f>IF(A20&lt;&gt;"",INDEX('[1]01-数据'!$C$2:$ND$2,MATCH(A20,'[1]01-数据'!$C$1:$ND$1))," ")</f>
        <v>268.59</v>
      </c>
      <c r="C20" s="11">
        <f>IF(A20&lt;&gt;"",INDEX('[1]01-数据'!$C$3:$ND$3,MATCH(A20,'[1]01-数据'!$C$1:$ND$1))," ")</f>
        <v>4512.08</v>
      </c>
      <c r="D20" s="12">
        <f>IF(A20&lt;&gt;"",INDEX('[1]01-数据'!$C$4:$ND$4,MATCH(A20,'[1]01-数据'!$C$1:$ND$1))," ")</f>
        <v>0.1693</v>
      </c>
      <c r="E20" s="11">
        <f>IF(A20&lt;&gt;"",INDEX('[1]01-数据'!$C$6:$ND$6,MATCH(A20,'[1]01-数据'!$C$1:$ND$1))," ")</f>
        <v>4512.08</v>
      </c>
      <c r="F20" s="15">
        <f>IF(A20&lt;&gt;"",INDEX('[1]01-数据'!$C$7:$ND$7,MATCH(A20,'[1]01-数据'!$C$1:$ND$1))," ")</f>
        <v>0.1693</v>
      </c>
      <c r="G20" s="11">
        <f>IF(A20&lt;&gt;"",INDEX('[1]01-数据'!$C$11:$ND$11,MATCH(A20,'[1]01-数据'!$C$1:$ND$1))," ")</f>
        <v>11.96</v>
      </c>
      <c r="H20" s="11">
        <f>IF(A20&lt;&gt;"",INDEX('[1]01-数据'!$C$14:$ND$14,MATCH(A20,'[1]01-数据'!$C$1:$ND$1))," ")</f>
        <v>9.11</v>
      </c>
      <c r="I20" s="38">
        <v>3533.65</v>
      </c>
      <c r="J20" s="35">
        <f t="shared" si="0"/>
        <v>0.276889335389753</v>
      </c>
    </row>
    <row r="21" spans="1:10">
      <c r="A21" s="25">
        <v>45309</v>
      </c>
      <c r="B21" s="11">
        <f>IF(A21&lt;&gt;"",INDEX('[1]01-数据'!$C$2:$ND$2,MATCH(A21,'[1]01-数据'!$C$1:$ND$1))," ")</f>
        <v>270.44</v>
      </c>
      <c r="C21" s="11">
        <f>IF(A21&lt;&gt;"",INDEX('[1]01-数据'!$C$3:$ND$3,MATCH(A21,'[1]01-数据'!$C$1:$ND$1))," ")</f>
        <v>4782.52</v>
      </c>
      <c r="D21" s="12">
        <f>IF(A21&lt;&gt;"",INDEX('[1]01-数据'!$C$4:$ND$4,MATCH(A21,'[1]01-数据'!$C$1:$ND$1))," ")</f>
        <v>0.1752</v>
      </c>
      <c r="E21" s="11">
        <f>IF(A21&lt;&gt;"",INDEX('[1]01-数据'!$C$6:$ND$6,MATCH(A21,'[1]01-数据'!$C$1:$ND$1))," ")</f>
        <v>4782.52</v>
      </c>
      <c r="F21" s="15">
        <f>IF(A21&lt;&gt;"",INDEX('[1]01-数据'!$C$7:$ND$7,MATCH(A21,'[1]01-数据'!$C$1:$ND$1))," ")</f>
        <v>0.1752</v>
      </c>
      <c r="G21" s="11">
        <f>IF(A21&lt;&gt;"",INDEX('[1]01-数据'!$C$11:$ND$11,MATCH(A21,'[1]01-数据'!$C$1:$ND$1))," ")</f>
        <v>12.06</v>
      </c>
      <c r="H21" s="11">
        <f>IF(A21&lt;&gt;"",INDEX('[1]01-数据'!$C$14:$ND$14,MATCH(A21,'[1]01-数据'!$C$1:$ND$1))," ")</f>
        <v>9.08</v>
      </c>
      <c r="I21" s="38">
        <v>3736.9</v>
      </c>
      <c r="J21" s="35">
        <f t="shared" si="0"/>
        <v>0.279809467740641</v>
      </c>
    </row>
    <row r="22" spans="1:10">
      <c r="A22" s="25">
        <v>45310</v>
      </c>
      <c r="B22" s="11">
        <f>IF(A22&lt;&gt;"",INDEX('[1]01-数据'!$C$2:$ND$2,MATCH(A22,'[1]01-数据'!$C$1:$ND$1))," ")</f>
        <v>273.23</v>
      </c>
      <c r="C22" s="11">
        <f>IF(A22&lt;&gt;"",INDEX('[1]01-数据'!$C$3:$ND$3,MATCH(A22,'[1]01-数据'!$C$1:$ND$1))," ")</f>
        <v>5055.75</v>
      </c>
      <c r="D22" s="12">
        <f>IF(A22&lt;&gt;"",INDEX('[1]01-数据'!$C$4:$ND$4,MATCH(A22,'[1]01-数据'!$C$1:$ND$1))," ")</f>
        <v>0.1839</v>
      </c>
      <c r="E22" s="11">
        <f>IF(A22&lt;&gt;"",INDEX('[1]01-数据'!$C$6:$ND$6,MATCH(A22,'[1]01-数据'!$C$1:$ND$1))," ")</f>
        <v>5055.75</v>
      </c>
      <c r="F22" s="15">
        <f>IF(A22&lt;&gt;"",INDEX('[1]01-数据'!$C$7:$ND$7,MATCH(A22,'[1]01-数据'!$C$1:$ND$1))," ")</f>
        <v>0.1839</v>
      </c>
      <c r="G22" s="11">
        <f>IF(A22&lt;&gt;"",INDEX('[1]01-数据'!$C$11:$ND$11,MATCH(A22,'[1]01-数据'!$C$1:$ND$1))," ")</f>
        <v>12.17</v>
      </c>
      <c r="H22" s="11">
        <f>IF(A22&lt;&gt;"",INDEX('[1]01-数据'!$C$14:$ND$14,MATCH(A22,'[1]01-数据'!$C$1:$ND$1))," ")</f>
        <v>9.14</v>
      </c>
      <c r="I22" s="38">
        <v>3934.26</v>
      </c>
      <c r="J22" s="35">
        <f t="shared" si="0"/>
        <v>0.285057418675939</v>
      </c>
    </row>
    <row r="23" spans="1:10">
      <c r="A23" s="26">
        <v>45311</v>
      </c>
      <c r="B23" s="8">
        <f>IF(A23&lt;&gt;"",INDEX('[1]01-数据'!$C$2:$ND$2,MATCH(A23,'[1]01-数据'!$C$1:$ND$1))," ")</f>
        <v>271.87</v>
      </c>
      <c r="C23" s="8">
        <f>IF(A23&lt;&gt;"",INDEX('[1]01-数据'!$C$3:$ND$3,MATCH(A23,'[1]01-数据'!$C$1:$ND$1))," ")</f>
        <v>5327.62</v>
      </c>
      <c r="D23" s="9">
        <f>IF(A23&lt;&gt;"",INDEX('[1]01-数据'!$C$4:$ND$4,MATCH(A23,'[1]01-数据'!$C$1:$ND$1))," ")</f>
        <v>0.1926</v>
      </c>
      <c r="E23" s="8">
        <f>IF(A23&lt;&gt;"",INDEX('[1]01-数据'!$C$6:$ND$6,MATCH(A23,'[1]01-数据'!$C$1:$ND$1))," ")</f>
        <v>5327.62</v>
      </c>
      <c r="F23" s="14">
        <f>IF(A23&lt;&gt;"",INDEX('[1]01-数据'!$C$7:$ND$7,MATCH(A23,'[1]01-数据'!$C$1:$ND$1))," ")</f>
        <v>0.1926</v>
      </c>
      <c r="G23" s="8">
        <f>IF(A23&lt;&gt;"",INDEX('[1]01-数据'!$C$11:$ND$11,MATCH(A23,'[1]01-数据'!$C$1:$ND$1))," ")</f>
        <v>12.07</v>
      </c>
      <c r="H23" s="8">
        <f>IF(A23&lt;&gt;"",INDEX('[1]01-数据'!$C$14:$ND$14,MATCH(A23,'[1]01-数据'!$C$1:$ND$1))," ")</f>
        <v>9.18</v>
      </c>
      <c r="I23" s="38">
        <v>4128.41</v>
      </c>
      <c r="J23" s="35">
        <f t="shared" si="0"/>
        <v>0.290477447734116</v>
      </c>
    </row>
    <row r="24" spans="1:10">
      <c r="A24" s="26">
        <v>45312</v>
      </c>
      <c r="B24" s="8">
        <f>IF(A24&lt;&gt;"",INDEX('[1]01-数据'!$C$2:$ND$2,MATCH(A24,'[1]01-数据'!$C$1:$ND$1))," ")</f>
        <v>271.63</v>
      </c>
      <c r="C24" s="8">
        <f>IF(A24&lt;&gt;"",INDEX('[1]01-数据'!$C$3:$ND$3,MATCH(A24,'[1]01-数据'!$C$1:$ND$1))," ")</f>
        <v>5599.25</v>
      </c>
      <c r="D24" s="9">
        <f>IF(A24&lt;&gt;"",INDEX('[1]01-数据'!$C$4:$ND$4,MATCH(A24,'[1]01-数据'!$C$1:$ND$1))," ")</f>
        <v>0.202</v>
      </c>
      <c r="E24" s="8">
        <f>IF(A24&lt;&gt;"",INDEX('[1]01-数据'!$C$6:$ND$6,MATCH(A24,'[1]01-数据'!$C$1:$ND$1))," ")</f>
        <v>5599.25</v>
      </c>
      <c r="F24" s="14">
        <f>IF(A24&lt;&gt;"",INDEX('[1]01-数据'!$C$7:$ND$7,MATCH(A24,'[1]01-数据'!$C$1:$ND$1))," ")</f>
        <v>0.202</v>
      </c>
      <c r="G24" s="8">
        <f>IF(A24&lt;&gt;"",INDEX('[1]01-数据'!$C$11:$ND$11,MATCH(A24,'[1]01-数据'!$C$1:$ND$1))," ")</f>
        <v>12.14</v>
      </c>
      <c r="H24" s="8">
        <f>IF(A24&lt;&gt;"",INDEX('[1]01-数据'!$C$14:$ND$14,MATCH(A24,'[1]01-数据'!$C$1:$ND$1))," ")</f>
        <v>9.18</v>
      </c>
      <c r="I24" s="38">
        <v>4325.3</v>
      </c>
      <c r="J24" s="35">
        <f t="shared" si="0"/>
        <v>0.294534483157238</v>
      </c>
    </row>
    <row r="25" spans="1:10">
      <c r="A25" s="25">
        <v>45313</v>
      </c>
      <c r="B25" s="11">
        <f>IF(A25&lt;&gt;"",INDEX('[1]01-数据'!$C$2:$ND$2,MATCH(A25,'[1]01-数据'!$C$1:$ND$1))," ")</f>
        <v>288.11</v>
      </c>
      <c r="C25" s="11">
        <f>IF(A25&lt;&gt;"",INDEX('[1]01-数据'!$C$3:$ND$3,MATCH(A25,'[1]01-数据'!$C$1:$ND$1))," ")</f>
        <v>5887.35</v>
      </c>
      <c r="D25" s="12">
        <f>IF(A25&lt;&gt;"",INDEX('[1]01-数据'!$C$4:$ND$4,MATCH(A25,'[1]01-数据'!$C$1:$ND$1))," ")</f>
        <v>0.2168</v>
      </c>
      <c r="E25" s="11">
        <f>IF(A25&lt;&gt;"",INDEX('[1]01-数据'!$C$6:$ND$6,MATCH(A25,'[1]01-数据'!$C$1:$ND$1))," ")</f>
        <v>5887.35</v>
      </c>
      <c r="F25" s="15">
        <f>IF(A25&lt;&gt;"",INDEX('[1]01-数据'!$C$7:$ND$7,MATCH(A25,'[1]01-数据'!$C$1:$ND$1))," ")</f>
        <v>0.2168</v>
      </c>
      <c r="G25" s="11">
        <f>IF(A25&lt;&gt;"",INDEX('[1]01-数据'!$C$11:$ND$11,MATCH(A25,'[1]01-数据'!$C$1:$ND$1))," ")</f>
        <v>13.06</v>
      </c>
      <c r="H25" s="11">
        <f>IF(A25&lt;&gt;"",INDEX('[1]01-数据'!$C$14:$ND$14,MATCH(A25,'[1]01-数据'!$C$1:$ND$1))," ")</f>
        <v>9.29</v>
      </c>
      <c r="I25" s="38">
        <v>4518.6</v>
      </c>
      <c r="J25" s="35">
        <f t="shared" si="0"/>
        <v>0.302914619572434</v>
      </c>
    </row>
    <row r="26" spans="1:10">
      <c r="A26" s="25">
        <v>45314</v>
      </c>
      <c r="B26" s="11">
        <f>IF(A26&lt;&gt;"",INDEX('[1]01-数据'!$C$2:$ND$2,MATCH(A26,'[1]01-数据'!$C$1:$ND$1))," ")</f>
        <v>292.17</v>
      </c>
      <c r="C26" s="11">
        <f>IF(A26&lt;&gt;"",INDEX('[1]01-数据'!$C$3:$ND$3,MATCH(A26,'[1]01-数据'!$C$1:$ND$1))," ")</f>
        <v>6179.52</v>
      </c>
      <c r="D26" s="12">
        <f>IF(A26&lt;&gt;"",INDEX('[1]01-数据'!$C$4:$ND$4,MATCH(A26,'[1]01-数据'!$C$1:$ND$1))," ")</f>
        <v>0.2305</v>
      </c>
      <c r="E26" s="11">
        <f>IF(A26&lt;&gt;"",INDEX('[1]01-数据'!$C$6:$ND$6,MATCH(A26,'[1]01-数据'!$C$1:$ND$1))," ")</f>
        <v>6179.52</v>
      </c>
      <c r="F26" s="15">
        <f>IF(A26&lt;&gt;"",INDEX('[1]01-数据'!$C$7:$ND$7,MATCH(A26,'[1]01-数据'!$C$1:$ND$1))," ")</f>
        <v>0.2305</v>
      </c>
      <c r="G26" s="11">
        <f>IF(A26&lt;&gt;"",INDEX('[1]01-数据'!$C$11:$ND$11,MATCH(A26,'[1]01-数据'!$C$1:$ND$1))," ")</f>
        <v>13.15</v>
      </c>
      <c r="H26" s="11">
        <f>IF(A26&lt;&gt;"",INDEX('[1]01-数据'!$C$14:$ND$14,MATCH(A26,'[1]01-数据'!$C$1:$ND$1))," ")</f>
        <v>9.67</v>
      </c>
      <c r="I26" s="38">
        <v>4708.47</v>
      </c>
      <c r="J26" s="35">
        <f t="shared" si="0"/>
        <v>0.312426329572027</v>
      </c>
    </row>
    <row r="27" spans="1:10">
      <c r="A27" s="25">
        <v>45315</v>
      </c>
      <c r="B27" s="11">
        <f>IF(A27&lt;&gt;"",INDEX('[1]01-数据'!$C$2:$ND$2,MATCH(A27,'[1]01-数据'!$C$1:$ND$1))," ")</f>
        <v>290.44</v>
      </c>
      <c r="C27" s="11">
        <f>IF(A27&lt;&gt;"",INDEX('[1]01-数据'!$C$3:$ND$3,MATCH(A27,'[1]01-数据'!$C$1:$ND$1))," ")</f>
        <v>6469.96</v>
      </c>
      <c r="D27" s="12">
        <f>IF(A27&lt;&gt;"",INDEX('[1]01-数据'!$C$4:$ND$4,MATCH(A27,'[1]01-数据'!$C$1:$ND$1))," ")</f>
        <v>0.241</v>
      </c>
      <c r="E27" s="11">
        <f>IF(A27&lt;&gt;"",INDEX('[1]01-数据'!$C$6:$ND$6,MATCH(A27,'[1]01-数据'!$C$1:$ND$1))," ")</f>
        <v>6469.96</v>
      </c>
      <c r="F27" s="15">
        <f>IF(A27&lt;&gt;"",INDEX('[1]01-数据'!$C$7:$ND$7,MATCH(A27,'[1]01-数据'!$C$1:$ND$1))," ")</f>
        <v>0.241</v>
      </c>
      <c r="G27" s="11">
        <f>IF(A27&lt;&gt;"",INDEX('[1]01-数据'!$C$11:$ND$11,MATCH(A27,'[1]01-数据'!$C$1:$ND$1))," ")</f>
        <v>12.95</v>
      </c>
      <c r="H27" s="11">
        <f>IF(A27&lt;&gt;"",INDEX('[1]01-数据'!$C$14:$ND$14,MATCH(A27,'[1]01-数据'!$C$1:$ND$1))," ")</f>
        <v>9.68</v>
      </c>
      <c r="I27" s="38">
        <v>4895.04</v>
      </c>
      <c r="J27" s="35">
        <f t="shared" si="0"/>
        <v>0.321737922468458</v>
      </c>
    </row>
    <row r="28" spans="1:10">
      <c r="A28" s="25">
        <v>45316</v>
      </c>
      <c r="B28" s="11">
        <f>IF(A28&lt;&gt;"",INDEX('[1]01-数据'!$C$2:$ND$2,MATCH(A28,'[1]01-数据'!$C$1:$ND$1))," ")</f>
        <v>283.71</v>
      </c>
      <c r="C28" s="11">
        <f>IF(A28&lt;&gt;"",INDEX('[1]01-数据'!$C$3:$ND$3,MATCH(A28,'[1]01-数据'!$C$1:$ND$1))," ")</f>
        <v>6753.68</v>
      </c>
      <c r="D28" s="12">
        <f>IF(A28&lt;&gt;"",INDEX('[1]01-数据'!$C$4:$ND$4,MATCH(A28,'[1]01-数据'!$C$1:$ND$1))," ")</f>
        <v>0.2484</v>
      </c>
      <c r="E28" s="11">
        <f>IF(A28&lt;&gt;"",INDEX('[1]01-数据'!$C$6:$ND$6,MATCH(A28,'[1]01-数据'!$C$1:$ND$1))," ")</f>
        <v>6753.68</v>
      </c>
      <c r="F28" s="15">
        <f>IF(A28&lt;&gt;"",INDEX('[1]01-数据'!$C$7:$ND$7,MATCH(A28,'[1]01-数据'!$C$1:$ND$1))," ")</f>
        <v>0.2484</v>
      </c>
      <c r="G28" s="11">
        <f>IF(A28&lt;&gt;"",INDEX('[1]01-数据'!$C$11:$ND$11,MATCH(A28,'[1]01-数据'!$C$1:$ND$1))," ")</f>
        <v>12.58</v>
      </c>
      <c r="H28" s="11">
        <f>IF(A28&lt;&gt;"",INDEX('[1]01-数据'!$C$14:$ND$14,MATCH(A28,'[1]01-数据'!$C$1:$ND$1))," ")</f>
        <v>9.53</v>
      </c>
      <c r="I28" s="38">
        <v>5079.32</v>
      </c>
      <c r="J28" s="35">
        <f t="shared" si="0"/>
        <v>0.329642550577637</v>
      </c>
    </row>
    <row r="29" spans="1:10">
      <c r="A29" s="25">
        <v>45317</v>
      </c>
      <c r="B29" s="11">
        <f>IF(A29&lt;&gt;"",INDEX('[1]01-数据'!$C$2:$ND$2,MATCH(A29,'[1]01-数据'!$C$1:$ND$1))," ")</f>
        <v>278.18</v>
      </c>
      <c r="C29" s="11">
        <f>IF(A29&lt;&gt;"",INDEX('[1]01-数据'!$C$3:$ND$3,MATCH(A29,'[1]01-数据'!$C$1:$ND$1))," ")</f>
        <v>7031.86</v>
      </c>
      <c r="D29" s="12">
        <f>IF(A29&lt;&gt;"",INDEX('[1]01-数据'!$C$4:$ND$4,MATCH(A29,'[1]01-数据'!$C$1:$ND$1))," ")</f>
        <v>0.2538</v>
      </c>
      <c r="E29" s="11">
        <f>IF(A29&lt;&gt;"",INDEX('[1]01-数据'!$C$6:$ND$6,MATCH(A29,'[1]01-数据'!$C$1:$ND$1))," ")</f>
        <v>7031.86</v>
      </c>
      <c r="F29" s="15">
        <f>IF(A29&lt;&gt;"",INDEX('[1]01-数据'!$C$7:$ND$7,MATCH(A29,'[1]01-数据'!$C$1:$ND$1))," ")</f>
        <v>0.2538</v>
      </c>
      <c r="G29" s="11">
        <f>IF(A29&lt;&gt;"",INDEX('[1]01-数据'!$C$11:$ND$11,MATCH(A29,'[1]01-数据'!$C$1:$ND$1))," ")</f>
        <v>12.28</v>
      </c>
      <c r="H29" s="11">
        <f>IF(A29&lt;&gt;"",INDEX('[1]01-数据'!$C$14:$ND$14,MATCH(A29,'[1]01-数据'!$C$1:$ND$1))," ")</f>
        <v>9.33</v>
      </c>
      <c r="I29" s="38">
        <v>5259.3</v>
      </c>
      <c r="J29" s="35">
        <f t="shared" si="0"/>
        <v>0.337033445515563</v>
      </c>
    </row>
    <row r="30" spans="1:10">
      <c r="A30" s="26">
        <v>45318</v>
      </c>
      <c r="B30" s="8">
        <f>IF(A30&lt;&gt;"",INDEX('[1]01-数据'!$C$2:$ND$2,MATCH(A30,'[1]01-数据'!$C$1:$ND$1))," ")</f>
        <v>269.7</v>
      </c>
      <c r="C30" s="8">
        <f>IF(A30&lt;&gt;"",INDEX('[1]01-数据'!$C$3:$ND$3,MATCH(A30,'[1]01-数据'!$C$1:$ND$1))," ")</f>
        <v>7301.56</v>
      </c>
      <c r="D30" s="9">
        <f>IF(A30&lt;&gt;"",INDEX('[1]01-数据'!$C$4:$ND$4,MATCH(A30,'[1]01-数据'!$C$1:$ND$1))," ")</f>
        <v>0.2567</v>
      </c>
      <c r="E30" s="8">
        <f>IF(A30&lt;&gt;"",INDEX('[1]01-数据'!$C$6:$ND$6,MATCH(A30,'[1]01-数据'!$C$1:$ND$1))," ")</f>
        <v>7301.56</v>
      </c>
      <c r="F30" s="14">
        <f>IF(A30&lt;&gt;"",INDEX('[1]01-数据'!$C$7:$ND$7,MATCH(A30,'[1]01-数据'!$C$1:$ND$1))," ")</f>
        <v>0.2567</v>
      </c>
      <c r="G30" s="8">
        <f>IF(A30&lt;&gt;"",INDEX('[1]01-数据'!$C$11:$ND$11,MATCH(A30,'[1]01-数据'!$C$1:$ND$1))," ")</f>
        <v>11.96</v>
      </c>
      <c r="H30" s="8">
        <f>IF(A30&lt;&gt;"",INDEX('[1]01-数据'!$C$14:$ND$14,MATCH(A30,'[1]01-数据'!$C$1:$ND$1))," ")</f>
        <v>9.15</v>
      </c>
      <c r="I30" s="38">
        <v>5433.38</v>
      </c>
      <c r="J30" s="35">
        <f t="shared" si="0"/>
        <v>0.343833856641722</v>
      </c>
    </row>
    <row r="31" spans="1:10">
      <c r="A31" s="26">
        <v>45319</v>
      </c>
      <c r="B31" s="8">
        <f>IF(A31&lt;&gt;"",INDEX('[1]01-数据'!$C$2:$ND$2,MATCH(A31,'[1]01-数据'!$C$1:$ND$1))," ")</f>
        <v>261.7</v>
      </c>
      <c r="C31" s="8">
        <f>IF(A31&lt;&gt;"",INDEX('[1]01-数据'!$C$3:$ND$3,MATCH(A31,'[1]01-数据'!$C$1:$ND$1))," ")</f>
        <v>7563.26</v>
      </c>
      <c r="D31" s="9">
        <f>IF(A31&lt;&gt;"",INDEX('[1]01-数据'!$C$4:$ND$4,MATCH(A31,'[1]01-数据'!$C$1:$ND$1))," ")</f>
        <v>0.2567</v>
      </c>
      <c r="E31" s="8">
        <f>IF(A31&lt;&gt;"",INDEX('[1]01-数据'!$C$6:$ND$6,MATCH(A31,'[1]01-数据'!$C$1:$ND$1))," ")</f>
        <v>7563.26</v>
      </c>
      <c r="F31" s="14">
        <f>IF(A31&lt;&gt;"",INDEX('[1]01-数据'!$C$7:$ND$7,MATCH(A31,'[1]01-数据'!$C$1:$ND$1))," ")</f>
        <v>0.2567</v>
      </c>
      <c r="G31" s="8">
        <f>IF(A31&lt;&gt;"",INDEX('[1]01-数据'!$C$11:$ND$11,MATCH(A31,'[1]01-数据'!$C$1:$ND$1))," ")</f>
        <v>11.59</v>
      </c>
      <c r="H31" s="8">
        <f>IF(A31&lt;&gt;"",INDEX('[1]01-数据'!$C$14:$ND$14,MATCH(A31,'[1]01-数据'!$C$1:$ND$1))," ")</f>
        <v>9.01</v>
      </c>
      <c r="I31" s="38">
        <v>5607.48</v>
      </c>
      <c r="J31" s="35">
        <f t="shared" si="0"/>
        <v>0.348780557398332</v>
      </c>
    </row>
    <row r="32" spans="1:10">
      <c r="A32" s="25">
        <v>45320</v>
      </c>
      <c r="B32" s="11">
        <f>IF(A32&lt;&gt;"",INDEX('[1]01-数据'!$C$2:$ND$2,MATCH(A32,'[1]01-数据'!$C$1:$ND$1))," ")</f>
        <v>262.55</v>
      </c>
      <c r="C32" s="11">
        <f>IF(A32&lt;&gt;"",INDEX('[1]01-数据'!$C$3:$ND$3,MATCH(A32,'[1]01-数据'!$C$1:$ND$1))," ")</f>
        <v>7825.81</v>
      </c>
      <c r="D32" s="12">
        <f>IF(A32&lt;&gt;"",INDEX('[1]01-数据'!$C$4:$ND$4,MATCH(A32,'[1]01-数据'!$C$1:$ND$1))," ")</f>
        <v>0.2563</v>
      </c>
      <c r="E32" s="11">
        <f>IF(A32&lt;&gt;"",INDEX('[1]01-数据'!$C$6:$ND$6,MATCH(A32,'[1]01-数据'!$C$1:$ND$1))," ")</f>
        <v>7825.81</v>
      </c>
      <c r="F32" s="15">
        <f>IF(A32&lt;&gt;"",INDEX('[1]01-数据'!$C$7:$ND$7,MATCH(A32,'[1]01-数据'!$C$1:$ND$1))," ")</f>
        <v>0.2563</v>
      </c>
      <c r="G32" s="11">
        <f>IF(A32&lt;&gt;"",INDEX('[1]01-数据'!$C$11:$ND$11,MATCH(A32,'[1]01-数据'!$C$1:$ND$1))," ")</f>
        <v>11.7</v>
      </c>
      <c r="H32" s="11">
        <f>IF(A32&lt;&gt;"",INDEX('[1]01-数据'!$C$14:$ND$14,MATCH(A32,'[1]01-数据'!$C$1:$ND$1))," ")</f>
        <v>8.74</v>
      </c>
      <c r="I32" s="39">
        <v>5778.32</v>
      </c>
      <c r="J32" s="35">
        <f t="shared" si="0"/>
        <v>0.354340015783134</v>
      </c>
    </row>
    <row r="33" spans="1:10">
      <c r="A33" s="25">
        <v>45321</v>
      </c>
      <c r="B33" s="11">
        <f>IF(A33&lt;&gt;"",INDEX('[1]01-数据'!$C$2:$ND$2,MATCH(A33,'[1]01-数据'!$C$1:$ND$1))," ")</f>
        <v>256.8</v>
      </c>
      <c r="C33" s="11">
        <f>IF(A33&lt;&gt;"",INDEX('[1]01-数据'!$C$3:$ND$3,MATCH(A33,'[1]01-数据'!$C$1:$ND$1))," ")</f>
        <v>8082.61</v>
      </c>
      <c r="D33" s="12">
        <f>IF(A33&lt;&gt;"",INDEX('[1]01-数据'!$C$4:$ND$4,MATCH(A33,'[1]01-数据'!$C$1:$ND$1))," ")</f>
        <v>0.2548</v>
      </c>
      <c r="E33" s="11">
        <f>IF(A33&lt;&gt;"",INDEX('[1]01-数据'!$C$6:$ND$6,MATCH(A33,'[1]01-数据'!$C$1:$ND$1))," ")</f>
        <v>8082.61</v>
      </c>
      <c r="F33" s="15">
        <f>IF(A33&lt;&gt;"",INDEX('[1]01-数据'!$C$7:$ND$7,MATCH(A33,'[1]01-数据'!$C$1:$ND$1))," ")</f>
        <v>0.2548</v>
      </c>
      <c r="G33" s="11">
        <f>IF(A33&lt;&gt;"",INDEX('[1]01-数据'!$C$11:$ND$11,MATCH(A33,'[1]01-数据'!$C$1:$ND$1))," ")</f>
        <v>11.42</v>
      </c>
      <c r="H33" s="11">
        <f>IF(A33&lt;&gt;"",INDEX('[1]01-数据'!$C$14:$ND$14,MATCH(A33,'[1]01-数据'!$C$1:$ND$1))," ")</f>
        <v>8.64</v>
      </c>
      <c r="I33" s="38">
        <v>5946.06</v>
      </c>
      <c r="J33" s="35">
        <f t="shared" si="0"/>
        <v>0.359321971187643</v>
      </c>
    </row>
    <row r="34" spans="1:10">
      <c r="A34" s="25">
        <v>45322</v>
      </c>
      <c r="B34" s="11">
        <f>IF(A34&lt;&gt;"",INDEX('[1]01-数据'!$C$2:$ND$2,MATCH(A34,'[1]01-数据'!$C$1:$ND$1))," ")</f>
        <v>251.57</v>
      </c>
      <c r="C34" s="11">
        <f>IF(A34&lt;&gt;"",INDEX('[1]01-数据'!$C$3:$ND$3,MATCH(A34,'[1]01-数据'!$C$1:$ND$1))," ")</f>
        <v>8334.18</v>
      </c>
      <c r="D34" s="12">
        <f>IF(A34&lt;&gt;"",INDEX('[1]01-数据'!$C$4:$ND$4,MATCH(A34,'[1]01-数据'!$C$1:$ND$1))," ")</f>
        <v>0.2527</v>
      </c>
      <c r="E34" s="11">
        <f>IF(A34&lt;&gt;"",INDEX('[1]01-数据'!$C$6:$ND$6,MATCH(A34,'[1]01-数据'!$C$1:$ND$1))," ")</f>
        <v>8334.18</v>
      </c>
      <c r="F34" s="15">
        <f>IF(A34&lt;&gt;"",INDEX('[1]01-数据'!$C$7:$ND$7,MATCH(A34,'[1]01-数据'!$C$1:$ND$1))," ")</f>
        <v>0.2527</v>
      </c>
      <c r="G34" s="11">
        <f>IF(A34&lt;&gt;"",INDEX('[1]01-数据'!$C$11:$ND$11,MATCH(A34,'[1]01-数据'!$C$1:$ND$1))," ")</f>
        <v>11.14</v>
      </c>
      <c r="H34" s="11">
        <f>IF(A34&lt;&gt;"",INDEX('[1]01-数据'!$C$14:$ND$14,MATCH(A34,'[1]01-数据'!$C$1:$ND$1))," ")</f>
        <v>8.41</v>
      </c>
      <c r="I34" s="38">
        <v>6111.13</v>
      </c>
      <c r="J34" s="35">
        <f t="shared" si="0"/>
        <v>0.363770693799674</v>
      </c>
    </row>
    <row r="35" spans="1:10">
      <c r="A35" s="13" t="s">
        <v>11</v>
      </c>
      <c r="B35" s="13"/>
      <c r="C35" s="13"/>
      <c r="D35" s="13"/>
      <c r="E35" s="13"/>
      <c r="F35" s="13"/>
      <c r="G35" s="16"/>
      <c r="H35" s="16"/>
      <c r="J35" s="33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8"/>
  <sheetViews>
    <sheetView zoomScale="145" zoomScaleNormal="145" topLeftCell="A13" workbookViewId="0">
      <selection activeCell="E32" sqref="E32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9" max="9" width="19.5583333333333" customWidth="1"/>
    <col min="10" max="10" width="16.975" customWidth="1"/>
    <col min="11" max="11" width="9.33333333333333"/>
  </cols>
  <sheetData>
    <row r="1" ht="18.75" spans="1:8">
      <c r="A1" s="3" t="s">
        <v>12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10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  <c r="I3" t="s">
        <v>13</v>
      </c>
      <c r="J3" t="s">
        <v>10</v>
      </c>
    </row>
    <row r="4" spans="1:10">
      <c r="A4" s="28">
        <v>45323</v>
      </c>
      <c r="B4" s="11">
        <f>IF(A4&lt;&gt;"",INDEX('[1]01-数据'!$C$2:$ND$2,MATCH(A4,'[1]01-数据'!$C$1:$ND$1))," ")</f>
        <v>251.35</v>
      </c>
      <c r="C4" s="11">
        <f>IF(A4&lt;&gt;"",INDEX('[1]01-数据'!$C$3:$ND$3,MATCH(A4,'[1]01-数据'!$C$1:$ND$1))," ")</f>
        <v>251.35</v>
      </c>
      <c r="D4" s="12">
        <f>IF(A4&lt;&gt;"",INDEX('[1]01-数据'!$C$4:$ND$4,MATCH(A4,'[1]01-数据'!$C$1:$ND$1))," ")</f>
        <v>0.1476</v>
      </c>
      <c r="E4" s="11">
        <f>IF(A4&lt;&gt;"",INDEX('[1]01-数据'!$C$6:$ND$6,MATCH(A4,'[1]01-数据'!$C$1:$ND$1))," ")</f>
        <v>8585.53</v>
      </c>
      <c r="F4" s="15">
        <f>IF(A4&lt;&gt;"",INDEX('[1]01-数据'!$C$7:$ND$7,MATCH(A4,'[1]01-数据'!$C$1:$ND$1))," ")</f>
        <v>0.2493</v>
      </c>
      <c r="G4" s="11">
        <f>IF(A4&lt;&gt;"",INDEX('[1]01-数据'!$C$11:$ND$11,MATCH(A4,'[1]01-数据'!$C$1:$ND$1))," ")</f>
        <v>11.26</v>
      </c>
      <c r="H4" s="11">
        <f>IF(A4&lt;&gt;"",INDEX('[1]01-数据'!$C$14:$ND$14,MATCH(A4,'[1]01-数据'!$C$1:$ND$1))," ")</f>
        <v>8.27</v>
      </c>
      <c r="I4" s="34">
        <v>158.55</v>
      </c>
      <c r="J4" s="35">
        <f t="shared" ref="J4:J9" si="0">C4/I4-1</f>
        <v>0.585304320403658</v>
      </c>
    </row>
    <row r="5" spans="1:10">
      <c r="A5" s="28">
        <v>45324</v>
      </c>
      <c r="B5" s="11">
        <f>IF(A5&lt;&gt;"",INDEX('[1]01-数据'!$C$2:$ND$2,MATCH(A5,'[1]01-数据'!$C$1:$ND$1))," ")</f>
        <v>250.97</v>
      </c>
      <c r="C5" s="11">
        <f>IF(A5&lt;&gt;"",INDEX('[1]01-数据'!$C$3:$ND$3,MATCH(A5,'[1]01-数据'!$C$1:$ND$1))," ")</f>
        <v>502.32</v>
      </c>
      <c r="D5" s="12">
        <f>IF(A5&lt;&gt;"",INDEX('[1]01-数据'!$C$4:$ND$4,MATCH(A5,'[1]01-数据'!$C$1:$ND$1))," ")</f>
        <v>0.1239</v>
      </c>
      <c r="E5" s="11">
        <f>IF(A5&lt;&gt;"",INDEX('[1]01-数据'!$C$6:$ND$6,MATCH(A5,'[1]01-数据'!$C$1:$ND$1))," ")</f>
        <v>8836.5</v>
      </c>
      <c r="F5" s="15">
        <f>IF(A5&lt;&gt;"",INDEX('[1]01-数据'!$C$7:$ND$7,MATCH(A5,'[1]01-数据'!$C$1:$ND$1))," ")</f>
        <v>0.2445</v>
      </c>
      <c r="G5" s="11">
        <f>IF(A5&lt;&gt;"",INDEX('[1]01-数据'!$C$11:$ND$11,MATCH(A5,'[1]01-数据'!$C$1:$ND$1))," ")</f>
        <v>11.17</v>
      </c>
      <c r="H5" s="11">
        <f>IF(A5&lt;&gt;"",INDEX('[1]01-数据'!$C$14:$ND$14,MATCH(A5,'[1]01-数据'!$C$1:$ND$1))," ")</f>
        <v>8.3</v>
      </c>
      <c r="I5" s="34">
        <v>309.99</v>
      </c>
      <c r="J5" s="35">
        <f t="shared" si="0"/>
        <v>0.620439369011903</v>
      </c>
    </row>
    <row r="6" spans="1:10">
      <c r="A6" s="27">
        <v>45325</v>
      </c>
      <c r="B6" s="8">
        <f>IF(A6&lt;&gt;"",INDEX('[1]01-数据'!$C$2:$ND$2,MATCH(A6,'[1]01-数据'!$C$1:$ND$1))," ")</f>
        <v>245.05</v>
      </c>
      <c r="C6" s="8">
        <f>IF(A6&lt;&gt;"",INDEX('[1]01-数据'!$C$3:$ND$3,MATCH(A6,'[1]01-数据'!$C$1:$ND$1))," ")</f>
        <v>747.37</v>
      </c>
      <c r="D6" s="14">
        <f>IF(A6&lt;&gt;"",INDEX('[1]01-数据'!$C$4:$ND$4,MATCH(A6,'[1]01-数据'!$C$1:$ND$1))," ")</f>
        <v>0.1034</v>
      </c>
      <c r="E6" s="8">
        <f>IF(A6&lt;&gt;"",INDEX('[1]01-数据'!$C$6:$ND$6,MATCH(A6,'[1]01-数据'!$C$1:$ND$1))," ")</f>
        <v>9081.55</v>
      </c>
      <c r="F6" s="14">
        <f>IF(A6&lt;&gt;"",INDEX('[1]01-数据'!$C$7:$ND$7,MATCH(A6,'[1]01-数据'!$C$1:$ND$1))," ")</f>
        <v>0.2389</v>
      </c>
      <c r="G6" s="8">
        <f>IF(A6&lt;&gt;"",INDEX('[1]01-数据'!$C$11:$ND$11,MATCH(A6,'[1]01-数据'!$C$1:$ND$1))," ")</f>
        <v>11.04</v>
      </c>
      <c r="H6" s="8">
        <f>IF(A6&lt;&gt;"",INDEX('[1]01-数据'!$C$14:$ND$14,MATCH(A6,'[1]01-数据'!$C$1:$ND$1))," ")</f>
        <v>8.18</v>
      </c>
      <c r="I6" s="34">
        <v>455.21</v>
      </c>
      <c r="J6" s="35">
        <f t="shared" si="0"/>
        <v>0.641813668416775</v>
      </c>
    </row>
    <row r="7" spans="1:10">
      <c r="A7" s="27">
        <v>45326</v>
      </c>
      <c r="B7" s="8">
        <f>IF(A7&lt;&gt;"",INDEX('[1]01-数据'!$C$2:$ND$2,MATCH(A7,'[1]01-数据'!$C$1:$ND$1))," ")</f>
        <v>243.79</v>
      </c>
      <c r="C7" s="8">
        <f>IF(A7&lt;&gt;"",INDEX('[1]01-数据'!$C$3:$ND$3,MATCH(A7,'[1]01-数据'!$C$1:$ND$1))," ")</f>
        <v>991.16</v>
      </c>
      <c r="D7" s="14">
        <f>IF(A7&lt;&gt;"",INDEX('[1]01-数据'!$C$4:$ND$4,MATCH(A7,'[1]01-数据'!$C$1:$ND$1))," ")</f>
        <v>0.0952</v>
      </c>
      <c r="E7" s="8">
        <f>IF(A7&lt;&gt;"",INDEX('[1]01-数据'!$C$6:$ND$6,MATCH(A7,'[1]01-数据'!$C$1:$ND$1))," ")</f>
        <v>9325.34</v>
      </c>
      <c r="F7" s="14">
        <f>IF(A7&lt;&gt;"",INDEX('[1]01-数据'!$C$7:$ND$7,MATCH(A7,'[1]01-数据'!$C$1:$ND$1))," ")</f>
        <v>0.2338</v>
      </c>
      <c r="G7" s="8">
        <f>IF(A7&lt;&gt;"",INDEX('[1]01-数据'!$C$11:$ND$11,MATCH(A7,'[1]01-数据'!$C$1:$ND$1))," ")</f>
        <v>11.01</v>
      </c>
      <c r="H7" s="8">
        <f>IF(A7&lt;&gt;"",INDEX('[1]01-数据'!$C$14:$ND$14,MATCH(A7,'[1]01-数据'!$C$1:$ND$1))," ")</f>
        <v>8.04</v>
      </c>
      <c r="I7" s="34">
        <v>595.46</v>
      </c>
      <c r="J7" s="35">
        <f t="shared" si="0"/>
        <v>0.664528263863232</v>
      </c>
    </row>
    <row r="8" spans="1:10">
      <c r="A8" s="28">
        <v>45327</v>
      </c>
      <c r="B8" s="11">
        <f>IF(A8&lt;&gt;"",INDEX('[1]01-数据'!$C$2:$ND$2,MATCH(A8,'[1]01-数据'!$C$1:$ND$1))," ")</f>
        <v>240.06</v>
      </c>
      <c r="C8" s="11">
        <f>IF(A8&lt;&gt;"",INDEX('[1]01-数据'!$C$3:$ND$3,MATCH(A8,'[1]01-数据'!$C$1:$ND$1))," ")</f>
        <v>1231.22</v>
      </c>
      <c r="D8" s="12">
        <f>IF(A8&lt;&gt;"",INDEX('[1]01-数据'!$C$4:$ND$4,MATCH(A8,'[1]01-数据'!$C$1:$ND$1))," ")</f>
        <v>0.0943</v>
      </c>
      <c r="E8" s="11">
        <f>IF(A8&lt;&gt;"",INDEX('[1]01-数据'!$C$6:$ND$6,MATCH(A8,'[1]01-数据'!$C$1:$ND$1))," ")</f>
        <v>9565.4</v>
      </c>
      <c r="F8" s="15">
        <f>IF(A8&lt;&gt;"",INDEX('[1]01-数据'!$C$7:$ND$7,MATCH(A8,'[1]01-数据'!$C$1:$ND$1))," ")</f>
        <v>0.2297</v>
      </c>
      <c r="G8" s="11">
        <f>IF(A8&lt;&gt;"",INDEX('[1]01-数据'!$C$11:$ND$11,MATCH(A8,'[1]01-数据'!$C$1:$ND$1))," ")</f>
        <v>10.86</v>
      </c>
      <c r="H8" s="11">
        <f>IF(A8&lt;&gt;"",INDEX('[1]01-数据'!$C$14:$ND$14,MATCH(A8,'[1]01-数据'!$C$1:$ND$1))," ")</f>
        <v>7.96</v>
      </c>
      <c r="I8" s="34">
        <v>726.86</v>
      </c>
      <c r="J8" s="35">
        <f t="shared" si="0"/>
        <v>0.693888781883719</v>
      </c>
    </row>
    <row r="9" spans="1:10">
      <c r="A9" s="28">
        <v>45328</v>
      </c>
      <c r="B9" s="11">
        <f>IF(A9&lt;&gt;"",INDEX('[1]01-数据'!$C$2:$ND$2,MATCH(A9,'[1]01-数据'!$C$1:$ND$1))," ")</f>
        <v>234.81</v>
      </c>
      <c r="C9" s="11">
        <f>IF(A9&lt;&gt;"",INDEX('[1]01-数据'!$C$3:$ND$3,MATCH(A9,'[1]01-数据'!$C$1:$ND$1))," ")</f>
        <v>1466.02</v>
      </c>
      <c r="D9" s="12">
        <f>IF(A9&lt;&gt;"",INDEX('[1]01-数据'!$C$4:$ND$4,MATCH(A9,'[1]01-数据'!$C$1:$ND$1))," ")</f>
        <v>0.0812</v>
      </c>
      <c r="E9" s="11">
        <f>IF(A9&lt;&gt;"",INDEX('[1]01-数据'!$C$6:$ND$6,MATCH(A9,'[1]01-数据'!$C$1:$ND$1))," ")</f>
        <v>9800.2</v>
      </c>
      <c r="F9" s="15">
        <f>IF(A9&lt;&gt;"",INDEX('[1]01-数据'!$C$7:$ND$7,MATCH(A9,'[1]01-数据'!$C$1:$ND$1))," ")</f>
        <v>0.2236</v>
      </c>
      <c r="G9" s="11">
        <f>IF(A9&lt;&gt;"",INDEX('[1]01-数据'!$C$11:$ND$11,MATCH(A9,'[1]01-数据'!$C$1:$ND$1))," ")</f>
        <v>10.62</v>
      </c>
      <c r="H9" s="11">
        <f>IF(A9&lt;&gt;"",INDEX('[1]01-数据'!$C$14:$ND$14,MATCH(A9,'[1]01-数据'!$C$1:$ND$1))," ")</f>
        <v>7.81</v>
      </c>
      <c r="I9" s="34">
        <v>856.83</v>
      </c>
      <c r="J9" s="35">
        <f t="shared" si="0"/>
        <v>0.710981174795467</v>
      </c>
    </row>
    <row r="10" spans="1:10">
      <c r="A10" s="28">
        <v>45329</v>
      </c>
      <c r="B10" s="11">
        <f>IF(A10&lt;&gt;"",INDEX('[1]01-数据'!$C$2:$ND$2,MATCH(A10,'[1]01-数据'!$C$1:$ND$1))," ")</f>
        <v>227.87</v>
      </c>
      <c r="C10" s="11">
        <f>IF(A10&lt;&gt;"",INDEX('[1]01-数据'!$C$3:$ND$3,MATCH(A10,'[1]01-数据'!$C$1:$ND$1))," ")</f>
        <v>1693.89</v>
      </c>
      <c r="D10" s="12">
        <f>IF(A10&lt;&gt;"",INDEX('[1]01-数据'!$C$4:$ND$4,MATCH(A10,'[1]01-数据'!$C$1:$ND$1))," ")</f>
        <v>0.0642</v>
      </c>
      <c r="E10" s="11">
        <f>IF(A10&lt;&gt;"",INDEX('[1]01-数据'!$C$6:$ND$6,MATCH(A10,'[1]01-数据'!$C$1:$ND$1))," ")</f>
        <v>10028.07</v>
      </c>
      <c r="F10" s="15">
        <f>IF(A10&lt;&gt;"",INDEX('[1]01-数据'!$C$7:$ND$7,MATCH(A10,'[1]01-数据'!$C$1:$ND$1))," ")</f>
        <v>0.2163</v>
      </c>
      <c r="G10" s="11">
        <f>IF(A10&lt;&gt;"",INDEX('[1]01-数据'!$C$11:$ND$11,MATCH(A10,'[1]01-数据'!$C$1:$ND$1))," ")</f>
        <v>10.34</v>
      </c>
      <c r="H10" s="11">
        <f>IF(A10&lt;&gt;"",INDEX('[1]01-数据'!$C$14:$ND$14,MATCH(A10,'[1]01-数据'!$C$1:$ND$1))," ")</f>
        <v>7.6</v>
      </c>
      <c r="I10" s="34">
        <v>992.52</v>
      </c>
      <c r="J10" s="35">
        <f t="shared" ref="J10:J31" si="1">C10/I10-1</f>
        <v>0.706655785273848</v>
      </c>
    </row>
    <row r="11" spans="1:10">
      <c r="A11" s="28">
        <v>45330</v>
      </c>
      <c r="B11" s="11">
        <f>IF(A11&lt;&gt;"",INDEX('[1]01-数据'!$C$2:$ND$2,MATCH(A11,'[1]01-数据'!$C$1:$ND$1))," ")</f>
        <v>218.22</v>
      </c>
      <c r="C11" s="11">
        <f>IF(A11&lt;&gt;"",INDEX('[1]01-数据'!$C$3:$ND$3,MATCH(A11,'[1]01-数据'!$C$1:$ND$1))," ")</f>
        <v>1912.12</v>
      </c>
      <c r="D11" s="12">
        <f>IF(A11&lt;&gt;"",INDEX('[1]01-数据'!$C$4:$ND$4,MATCH(A11,'[1]01-数据'!$C$1:$ND$1))," ")</f>
        <v>0.0439</v>
      </c>
      <c r="E11" s="11">
        <f>IF(A11&lt;&gt;"",INDEX('[1]01-数据'!$C$6:$ND$6,MATCH(A11,'[1]01-数据'!$C$1:$ND$1))," ")</f>
        <v>10246.3</v>
      </c>
      <c r="F11" s="15">
        <f>IF(A11&lt;&gt;"",INDEX('[1]01-数据'!$C$7:$ND$7,MATCH(A11,'[1]01-数据'!$C$1:$ND$1))," ")</f>
        <v>0.2076</v>
      </c>
      <c r="G11" s="11">
        <f>IF(A11&lt;&gt;"",INDEX('[1]01-数据'!$C$11:$ND$11,MATCH(A11,'[1]01-数据'!$C$1:$ND$1))," ")</f>
        <v>10.05</v>
      </c>
      <c r="H11" s="11">
        <f>IF(A11&lt;&gt;"",INDEX('[1]01-数据'!$C$14:$ND$14,MATCH(A11,'[1]01-数据'!$C$1:$ND$1))," ")</f>
        <v>7.35</v>
      </c>
      <c r="I11" s="34">
        <v>1134.99</v>
      </c>
      <c r="J11" s="35">
        <f t="shared" si="1"/>
        <v>0.684702067859629</v>
      </c>
    </row>
    <row r="12" spans="1:10">
      <c r="A12" s="28">
        <v>45331</v>
      </c>
      <c r="B12" s="11">
        <f>IF(A12&lt;&gt;"",INDEX('[1]01-数据'!$C$2:$ND$2,MATCH(A12,'[1]01-数据'!$C$1:$ND$1))," ")</f>
        <v>207.38</v>
      </c>
      <c r="C12" s="11">
        <f>IF(A12&lt;&gt;"",INDEX('[1]01-数据'!$C$3:$ND$3,MATCH(A12,'[1]01-数据'!$C$1:$ND$1))," ")</f>
        <v>2119.5</v>
      </c>
      <c r="D12" s="12">
        <f>IF(A12&lt;&gt;"",INDEX('[1]01-数据'!$C$4:$ND$4,MATCH(A12,'[1]01-数据'!$C$1:$ND$1))," ")</f>
        <v>0.0215</v>
      </c>
      <c r="E12" s="11">
        <f>IF(A12&lt;&gt;"",INDEX('[1]01-数据'!$C$6:$ND$6,MATCH(A12,'[1]01-数据'!$C$1:$ND$1))," ")</f>
        <v>10453.68</v>
      </c>
      <c r="F12" s="15">
        <f>IF(A12&lt;&gt;"",INDEX('[1]01-数据'!$C$7:$ND$7,MATCH(A12,'[1]01-数据'!$C$1:$ND$1))," ")</f>
        <v>0.1977</v>
      </c>
      <c r="G12" s="11">
        <f>IF(A12&lt;&gt;"",INDEX('[1]01-数据'!$C$11:$ND$11,MATCH(A12,'[1]01-数据'!$C$1:$ND$1))," ")</f>
        <v>9.45</v>
      </c>
      <c r="H12" s="11">
        <f>IF(A12&lt;&gt;"",INDEX('[1]01-数据'!$C$14:$ND$14,MATCH(A12,'[1]01-数据'!$C$1:$ND$1))," ")</f>
        <v>7.02</v>
      </c>
      <c r="I12" s="34">
        <v>1282.93</v>
      </c>
      <c r="J12" s="35">
        <f t="shared" si="1"/>
        <v>0.652077665967746</v>
      </c>
    </row>
    <row r="13" spans="1:11">
      <c r="A13" s="27">
        <v>45332</v>
      </c>
      <c r="B13" s="8">
        <f>IF(A13&lt;&gt;"",INDEX('[1]01-数据'!$C$2:$ND$2,MATCH(A13,'[1]01-数据'!$C$1:$ND$1))," ")</f>
        <v>189.75</v>
      </c>
      <c r="C13" s="8">
        <f>IF(A13&lt;&gt;"",INDEX('[1]01-数据'!$C$3:$ND$3,MATCH(A13,'[1]01-数据'!$C$1:$ND$1))," ")</f>
        <v>2309.25</v>
      </c>
      <c r="D13" s="14">
        <f>IF(A13&lt;&gt;"",INDEX('[1]01-数据'!$C$4:$ND$4,MATCH(A13,'[1]01-数据'!$C$1:$ND$1))," ")</f>
        <v>-0.0046</v>
      </c>
      <c r="E13" s="8">
        <f>IF(A13&lt;&gt;"",INDEX('[1]01-数据'!$C$6:$ND$6,MATCH(A13,'[1]01-数据'!$C$1:$ND$1))," ")</f>
        <v>10643.43</v>
      </c>
      <c r="F13" s="14">
        <f>IF(A13&lt;&gt;"",INDEX('[1]01-数据'!$C$7:$ND$7,MATCH(A13,'[1]01-数据'!$C$1:$ND$1))," ")</f>
        <v>0.1861</v>
      </c>
      <c r="G13" s="8">
        <f>IF(A13&lt;&gt;"",INDEX('[1]01-数据'!$C$11:$ND$11,MATCH(A13,'[1]01-数据'!$C$1:$ND$1))," ")</f>
        <v>8.62</v>
      </c>
      <c r="H13" s="8">
        <f>IF(A13&lt;&gt;"",INDEX('[1]01-数据'!$C$14:$ND$14,MATCH(A13,'[1]01-数据'!$C$1:$ND$1))," ")</f>
        <v>6.78</v>
      </c>
      <c r="I13" s="34">
        <v>1436.7</v>
      </c>
      <c r="J13" s="35">
        <f t="shared" si="1"/>
        <v>0.60732929630403</v>
      </c>
      <c r="K13" s="17"/>
    </row>
    <row r="14" spans="1:11">
      <c r="A14" s="27">
        <v>45333</v>
      </c>
      <c r="B14" s="8">
        <f>IF(A14&lt;&gt;"",INDEX('[1]01-数据'!$C$2:$ND$2,MATCH(A14,'[1]01-数据'!$C$1:$ND$1))," ")</f>
        <v>183.64</v>
      </c>
      <c r="C14" s="8">
        <f>IF(A14&lt;&gt;"",INDEX('[1]01-数据'!$C$3:$ND$3,MATCH(A14,'[1]01-数据'!$C$1:$ND$1))," ")</f>
        <v>2492.89</v>
      </c>
      <c r="D14" s="14">
        <f>IF(A14&lt;&gt;"",INDEX('[1]01-数据'!$C$4:$ND$4,MATCH(A14,'[1]01-数据'!$C$1:$ND$1))," ")</f>
        <v>-0.0267</v>
      </c>
      <c r="E14" s="8">
        <f>IF(A14&lt;&gt;"",INDEX('[1]01-数据'!$C$6:$ND$6,MATCH(A14,'[1]01-数据'!$C$1:$ND$1))," ")</f>
        <v>10827.07</v>
      </c>
      <c r="F14" s="14">
        <f>IF(A14&lt;&gt;"",INDEX('[1]01-数据'!$C$7:$ND$7,MATCH(A14,'[1]01-数据'!$C$1:$ND$1))," ")</f>
        <v>0.175</v>
      </c>
      <c r="G14" s="8">
        <f>IF(A14&lt;&gt;"",INDEX('[1]01-数据'!$C$11:$ND$11,MATCH(A14,'[1]01-数据'!$C$1:$ND$1))," ")</f>
        <v>8.37</v>
      </c>
      <c r="H14" s="8">
        <f>IF(A14&lt;&gt;"",INDEX('[1]01-数据'!$C$14:$ND$14,MATCH(A14,'[1]01-数据'!$C$1:$ND$1))," ")</f>
        <v>6.48</v>
      </c>
      <c r="I14" s="34">
        <v>1597.1</v>
      </c>
      <c r="J14" s="35">
        <f t="shared" si="1"/>
        <v>0.560885354705404</v>
      </c>
      <c r="K14" s="17"/>
    </row>
    <row r="15" spans="1:11">
      <c r="A15" s="28">
        <v>45334</v>
      </c>
      <c r="B15" s="11">
        <f>IF(A15&lt;&gt;"",INDEX('[1]01-数据'!$C$2:$ND$2,MATCH(A15,'[1]01-数据'!$C$1:$ND$1))," ")</f>
        <v>181.54</v>
      </c>
      <c r="C15" s="11">
        <f>IF(A15&lt;&gt;"",INDEX('[1]01-数据'!$C$3:$ND$3,MATCH(A15,'[1]01-数据'!$C$1:$ND$1))," ")</f>
        <v>2674.43</v>
      </c>
      <c r="D15" s="15">
        <f>IF(A15&lt;&gt;"",INDEX('[1]01-数据'!$C$4:$ND$4,MATCH(A15,'[1]01-数据'!$C$1:$ND$1))," ")</f>
        <v>-0.0442</v>
      </c>
      <c r="E15" s="11">
        <f>IF(A15&lt;&gt;"",INDEX('[1]01-数据'!$C$6:$ND$6,MATCH(A15,'[1]01-数据'!$C$1:$ND$1))," ")</f>
        <v>11008.61</v>
      </c>
      <c r="F15" s="15">
        <f>IF(A15&lt;&gt;"",INDEX('[1]01-数据'!$C$7:$ND$7,MATCH(A15,'[1]01-数据'!$C$1:$ND$1))," ")</f>
        <v>0.1648</v>
      </c>
      <c r="G15" s="11">
        <f>IF(A15&lt;&gt;"",INDEX('[1]01-数据'!$C$11:$ND$11,MATCH(A15,'[1]01-数据'!$C$1:$ND$1))," ")</f>
        <v>8.2</v>
      </c>
      <c r="H15" s="11">
        <f>IF(A15&lt;&gt;"",INDEX('[1]01-数据'!$C$14:$ND$14,MATCH(A15,'[1]01-数据'!$C$1:$ND$1))," ")</f>
        <v>6.36</v>
      </c>
      <c r="I15" s="34">
        <v>1764.78</v>
      </c>
      <c r="J15" s="35">
        <f t="shared" si="1"/>
        <v>0.515446684572581</v>
      </c>
      <c r="K15" s="17"/>
    </row>
    <row r="16" spans="1:10">
      <c r="A16" s="28">
        <v>45335</v>
      </c>
      <c r="B16" s="11">
        <f>IF(A16&lt;&gt;"",INDEX('[1]01-数据'!$C$2:$ND$2,MATCH(A16,'[1]01-数据'!$C$1:$ND$1))," ")</f>
        <v>179.76</v>
      </c>
      <c r="C16" s="11">
        <f>IF(A16&lt;&gt;"",INDEX('[1]01-数据'!$C$3:$ND$3,MATCH(A16,'[1]01-数据'!$C$1:$ND$1))," ")</f>
        <v>2854.2</v>
      </c>
      <c r="D16" s="15">
        <f>IF(A16&lt;&gt;"",INDEX('[1]01-数据'!$C$4:$ND$4,MATCH(A16,'[1]01-数据'!$C$1:$ND$1))," ")</f>
        <v>-0.0631</v>
      </c>
      <c r="E16" s="11">
        <f>IF(A16&lt;&gt;"",INDEX('[1]01-数据'!$C$6:$ND$6,MATCH(A16,'[1]01-数据'!$C$1:$ND$1))," ")</f>
        <v>11188.38</v>
      </c>
      <c r="F16" s="15">
        <f>IF(A16&lt;&gt;"",INDEX('[1]01-数据'!$C$7:$ND$7,MATCH(A16,'[1]01-数据'!$C$1:$ND$1))," ")</f>
        <v>0.1535</v>
      </c>
      <c r="G16" s="11">
        <f>IF(A16&lt;&gt;"",INDEX('[1]01-数据'!$C$11:$ND$11,MATCH(A16,'[1]01-数据'!$C$1:$ND$1))," ")</f>
        <v>8.13</v>
      </c>
      <c r="H16" s="11">
        <f>IF(A16&lt;&gt;"",INDEX('[1]01-数据'!$C$14:$ND$14,MATCH(A16,'[1]01-数据'!$C$1:$ND$1))," ")</f>
        <v>6.25</v>
      </c>
      <c r="I16" s="34">
        <v>1937.04</v>
      </c>
      <c r="J16" s="35">
        <f t="shared" si="1"/>
        <v>0.473485317804485</v>
      </c>
    </row>
    <row r="17" spans="1:10">
      <c r="A17" s="28">
        <v>45336</v>
      </c>
      <c r="B17" s="11">
        <f>IF(A17&lt;&gt;"",INDEX('[1]01-数据'!$C$2:$ND$2,MATCH(A17,'[1]01-数据'!$C$1:$ND$1))," ")</f>
        <v>181.69</v>
      </c>
      <c r="C17" s="11">
        <f>IF(A17&lt;&gt;"",INDEX('[1]01-数据'!$C$3:$ND$3,MATCH(A17,'[1]01-数据'!$C$1:$ND$1))," ")</f>
        <v>3035.89</v>
      </c>
      <c r="D17" s="15">
        <f>IF(A17&lt;&gt;"",INDEX('[1]01-数据'!$C$4:$ND$4,MATCH(A17,'[1]01-数据'!$C$1:$ND$1))," ")</f>
        <v>-0.0791</v>
      </c>
      <c r="E17" s="11">
        <f>IF(A17&lt;&gt;"",INDEX('[1]01-数据'!$C$6:$ND$6,MATCH(A17,'[1]01-数据'!$C$1:$ND$1))," ")</f>
        <v>11370.07</v>
      </c>
      <c r="F17" s="15">
        <f>IF(A17&lt;&gt;"",INDEX('[1]01-数据'!$C$7:$ND$7,MATCH(A17,'[1]01-数据'!$C$1:$ND$1))," ")</f>
        <v>0.1427</v>
      </c>
      <c r="G17" s="11">
        <f>IF(A17&lt;&gt;"",INDEX('[1]01-数据'!$C$11:$ND$11,MATCH(A17,'[1]01-数据'!$C$1:$ND$1))," ")</f>
        <v>8.21</v>
      </c>
      <c r="H17" s="11">
        <f>IF(A17&lt;&gt;"",INDEX('[1]01-数据'!$C$14:$ND$14,MATCH(A17,'[1]01-数据'!$C$1:$ND$1))," ")</f>
        <v>6.24</v>
      </c>
      <c r="I17" s="34">
        <v>2114.22</v>
      </c>
      <c r="J17" s="35">
        <f t="shared" si="1"/>
        <v>0.435938549441402</v>
      </c>
    </row>
    <row r="18" spans="1:10">
      <c r="A18" s="28">
        <v>45337</v>
      </c>
      <c r="B18" s="11">
        <f>IF(A18&lt;&gt;"",INDEX('[1]01-数据'!$C$2:$ND$2,MATCH(A18,'[1]01-数据'!$C$1:$ND$1))," ")</f>
        <v>189.2</v>
      </c>
      <c r="C18" s="11">
        <f>IF(A18&lt;&gt;"",INDEX('[1]01-数据'!$C$3:$ND$3,MATCH(A18,'[1]01-数据'!$C$1:$ND$1))," ")</f>
        <v>3225.08</v>
      </c>
      <c r="D18" s="15">
        <f>IF(A18&lt;&gt;"",INDEX('[1]01-数据'!$C$4:$ND$4,MATCH(A18,'[1]01-数据'!$C$1:$ND$1))," ")</f>
        <v>-0.0906</v>
      </c>
      <c r="E18" s="11">
        <f>IF(A18&lt;&gt;"",INDEX('[1]01-数据'!$C$6:$ND$6,MATCH(A18,'[1]01-数据'!$C$1:$ND$1))," ")</f>
        <v>11559.26</v>
      </c>
      <c r="F18" s="15">
        <f>IF(A18&lt;&gt;"",INDEX('[1]01-数据'!$C$7:$ND$7,MATCH(A18,'[1]01-数据'!$C$1:$ND$1))," ")</f>
        <v>0.1333</v>
      </c>
      <c r="G18" s="11">
        <f>IF(A18&lt;&gt;"",INDEX('[1]01-数据'!$C$11:$ND$11,MATCH(A18,'[1]01-数据'!$C$1:$ND$1))," ")</f>
        <v>8.65</v>
      </c>
      <c r="H18" s="11">
        <f>IF(A18&lt;&gt;"",INDEX('[1]01-数据'!$C$14:$ND$14,MATCH(A18,'[1]01-数据'!$C$1:$ND$1))," ")</f>
        <v>6.36</v>
      </c>
      <c r="I18" s="34">
        <v>2294.33</v>
      </c>
      <c r="J18" s="35">
        <f t="shared" si="1"/>
        <v>0.405673987612941</v>
      </c>
    </row>
    <row r="19" spans="1:10">
      <c r="A19" s="28">
        <v>45338</v>
      </c>
      <c r="B19" s="11">
        <f>IF(A19&lt;&gt;"",INDEX('[1]01-数据'!$C$2:$ND$2,MATCH(A19,'[1]01-数据'!$C$1:$ND$1))," ")</f>
        <v>193.55</v>
      </c>
      <c r="C19" s="11">
        <f>IF(A19&lt;&gt;"",INDEX('[1]01-数据'!$C$3:$ND$3,MATCH(A19,'[1]01-数据'!$C$1:$ND$1))," ")</f>
        <v>3418.63</v>
      </c>
      <c r="D19" s="15">
        <f>IF(A19&lt;&gt;"",INDEX('[1]01-数据'!$C$4:$ND$4,MATCH(A19,'[1]01-数据'!$C$1:$ND$1))," ")</f>
        <v>-0.0992</v>
      </c>
      <c r="E19" s="11">
        <f>IF(A19&lt;&gt;"",INDEX('[1]01-数据'!$C$6:$ND$6,MATCH(A19,'[1]01-数据'!$C$1:$ND$1))," ")</f>
        <v>11752.81</v>
      </c>
      <c r="F19" s="15">
        <f>IF(A19&lt;&gt;"",INDEX('[1]01-数据'!$C$7:$ND$7,MATCH(A19,'[1]01-数据'!$C$1:$ND$1))," ")</f>
        <v>0.1248</v>
      </c>
      <c r="G19" s="11">
        <f>IF(A19&lt;&gt;"",INDEX('[1]01-数据'!$C$11:$ND$11,MATCH(A19,'[1]01-数据'!$C$1:$ND$1))," ")</f>
        <v>8.74</v>
      </c>
      <c r="H19" s="11">
        <f>IF(A19&lt;&gt;"",INDEX('[1]01-数据'!$C$14:$ND$14,MATCH(A19,'[1]01-数据'!$C$1:$ND$1))," ")</f>
        <v>6.62</v>
      </c>
      <c r="I19" s="34">
        <v>2474.98</v>
      </c>
      <c r="J19" s="35">
        <f t="shared" si="1"/>
        <v>0.38127580828936</v>
      </c>
    </row>
    <row r="20" spans="1:10">
      <c r="A20" s="27">
        <v>45339</v>
      </c>
      <c r="B20" s="8">
        <f>IF(A20&lt;&gt;"",INDEX('[1]01-数据'!$C$2:$ND$2,MATCH(A20,'[1]01-数据'!$C$1:$ND$1))," ")</f>
        <v>198.08</v>
      </c>
      <c r="C20" s="8">
        <f>IF(A20&lt;&gt;"",INDEX('[1]01-数据'!$C$3:$ND$3,MATCH(A20,'[1]01-数据'!$C$1:$ND$1))," ")</f>
        <v>3616.71</v>
      </c>
      <c r="D20" s="14">
        <f>IF(A20&lt;&gt;"",INDEX('[1]01-数据'!$C$4:$ND$4,MATCH(A20,'[1]01-数据'!$C$1:$ND$1))," ")</f>
        <v>-0.1053</v>
      </c>
      <c r="E20" s="8">
        <f>IF(A20&lt;&gt;"",INDEX('[1]01-数据'!$C$6:$ND$6,MATCH(A20,'[1]01-数据'!$C$1:$ND$1))," ")</f>
        <v>11950.89</v>
      </c>
      <c r="F20" s="14">
        <f>IF(A20&lt;&gt;"",INDEX('[1]01-数据'!$C$7:$ND$7,MATCH(A20,'[1]01-数据'!$C$1:$ND$1))," ")</f>
        <v>0.1174</v>
      </c>
      <c r="G20" s="8">
        <f>IF(A20&lt;&gt;"",INDEX('[1]01-数据'!$C$11:$ND$11,MATCH(A20,'[1]01-数据'!$C$1:$ND$1))," ")</f>
        <v>8.89</v>
      </c>
      <c r="H20" s="8">
        <f>IF(A20&lt;&gt;"",INDEX('[1]01-数据'!$C$14:$ND$14,MATCH(A20,'[1]01-数据'!$C$1:$ND$1))," ")</f>
        <v>6.7</v>
      </c>
      <c r="I20" s="34">
        <v>2654.27</v>
      </c>
      <c r="J20" s="35">
        <f t="shared" si="1"/>
        <v>0.362600639723917</v>
      </c>
    </row>
    <row r="21" spans="1:10">
      <c r="A21" s="27">
        <v>45340</v>
      </c>
      <c r="B21" s="8">
        <f>IF(A21&lt;&gt;"",INDEX('[1]01-数据'!$C$2:$ND$2,MATCH(A21,'[1]01-数据'!$C$1:$ND$1))," ")</f>
        <v>206.58</v>
      </c>
      <c r="C21" s="8">
        <f>IF(A21&lt;&gt;"",INDEX('[1]01-数据'!$C$3:$ND$3,MATCH(A21,'[1]01-数据'!$C$1:$ND$1))," ")</f>
        <v>3823.29</v>
      </c>
      <c r="D21" s="14">
        <f>IF(A21&lt;&gt;"",INDEX('[1]01-数据'!$C$4:$ND$4,MATCH(A21,'[1]01-数据'!$C$1:$ND$1))," ")</f>
        <v>-0.1074</v>
      </c>
      <c r="E21" s="8">
        <f>IF(A21&lt;&gt;"",INDEX('[1]01-数据'!$C$6:$ND$6,MATCH(A21,'[1]01-数据'!$C$1:$ND$1))," ")</f>
        <v>12157.47</v>
      </c>
      <c r="F21" s="14">
        <f>IF(A21&lt;&gt;"",INDEX('[1]01-数据'!$C$7:$ND$7,MATCH(A21,'[1]01-数据'!$C$1:$ND$1))," ")</f>
        <v>0.1116</v>
      </c>
      <c r="G21" s="8">
        <f>IF(A21&lt;&gt;"",INDEX('[1]01-数据'!$C$11:$ND$11,MATCH(A21,'[1]01-数据'!$C$1:$ND$1))," ")</f>
        <v>9.25</v>
      </c>
      <c r="H21" s="8">
        <f>IF(A21&lt;&gt;"",INDEX('[1]01-数据'!$C$14:$ND$14,MATCH(A21,'[1]01-数据'!$C$1:$ND$1))," ")</f>
        <v>6.84</v>
      </c>
      <c r="I21" s="34">
        <v>2840.96</v>
      </c>
      <c r="J21" s="35">
        <f t="shared" si="1"/>
        <v>0.34577396373057</v>
      </c>
    </row>
    <row r="22" spans="1:10">
      <c r="A22" s="28">
        <v>45341</v>
      </c>
      <c r="B22" s="11">
        <f>IF(A22&lt;&gt;"",INDEX('[1]01-数据'!$C$2:$ND$2,MATCH(A22,'[1]01-数据'!$C$1:$ND$1))," ")</f>
        <v>218.56</v>
      </c>
      <c r="C22" s="11">
        <f>IF(A22&lt;&gt;"",INDEX('[1]01-数据'!$C$3:$ND$3,MATCH(A22,'[1]01-数据'!$C$1:$ND$1))," ")</f>
        <v>4041.85</v>
      </c>
      <c r="D22" s="15">
        <f>IF(A22&lt;&gt;"",INDEX('[1]01-数据'!$C$4:$ND$4,MATCH(A22,'[1]01-数据'!$C$1:$ND$1))," ")</f>
        <v>-0.1056</v>
      </c>
      <c r="E22" s="11">
        <f>IF(A22&lt;&gt;"",INDEX('[1]01-数据'!$C$6:$ND$6,MATCH(A22,'[1]01-数据'!$C$1:$ND$1))," ")</f>
        <v>12376.03</v>
      </c>
      <c r="F22" s="15">
        <f>IF(A22&lt;&gt;"",INDEX('[1]01-数据'!$C$7:$ND$7,MATCH(A22,'[1]01-数据'!$C$1:$ND$1))," ")</f>
        <v>0.1078</v>
      </c>
      <c r="G22" s="11">
        <f>IF(A22&lt;&gt;"",INDEX('[1]01-数据'!$C$11:$ND$11,MATCH(A22,'[1]01-数据'!$C$1:$ND$1))," ")</f>
        <v>9.83</v>
      </c>
      <c r="H22" s="11">
        <f>IF(A22&lt;&gt;"",INDEX('[1]01-数据'!$C$14:$ND$14,MATCH(A22,'[1]01-数据'!$C$1:$ND$1))," ")</f>
        <v>7.1</v>
      </c>
      <c r="I22" s="34">
        <v>3025.38</v>
      </c>
      <c r="J22" s="35">
        <f t="shared" si="1"/>
        <v>0.335980934626394</v>
      </c>
    </row>
    <row r="23" spans="1:10">
      <c r="A23" s="28">
        <v>45342</v>
      </c>
      <c r="B23" s="11">
        <f>IF(A23&lt;&gt;"",INDEX('[1]01-数据'!$C$2:$ND$2,MATCH(A23,'[1]01-数据'!$C$1:$ND$1))," ")</f>
        <v>233.11</v>
      </c>
      <c r="C23" s="11">
        <f>IF(A23&lt;&gt;"",INDEX('[1]01-数据'!$C$3:$ND$3,MATCH(A23,'[1]01-数据'!$C$1:$ND$1))," ")</f>
        <v>4274.96</v>
      </c>
      <c r="D23" s="15">
        <f>IF(A23&lt;&gt;"",INDEX('[1]01-数据'!$C$4:$ND$4,MATCH(A23,'[1]01-数据'!$C$1:$ND$1))," ")</f>
        <v>-0.1021</v>
      </c>
      <c r="E23" s="11">
        <f>IF(A23&lt;&gt;"",INDEX('[1]01-数据'!$C$6:$ND$6,MATCH(A23,'[1]01-数据'!$C$1:$ND$1))," ")</f>
        <v>12609.14</v>
      </c>
      <c r="F23" s="15">
        <f>IF(A23&lt;&gt;"",INDEX('[1]01-数据'!$C$7:$ND$7,MATCH(A23,'[1]01-数据'!$C$1:$ND$1))," ")</f>
        <v>0.1047</v>
      </c>
      <c r="G23" s="11">
        <f>IF(A23&lt;&gt;"",INDEX('[1]01-数据'!$C$11:$ND$11,MATCH(A23,'[1]01-数据'!$C$1:$ND$1))," ")</f>
        <v>10.49</v>
      </c>
      <c r="H23" s="11">
        <f>IF(A23&lt;&gt;"",INDEX('[1]01-数据'!$C$14:$ND$14,MATCH(A23,'[1]01-数据'!$C$1:$ND$1))," ")</f>
        <v>7.56</v>
      </c>
      <c r="I23" s="34">
        <v>3213.54</v>
      </c>
      <c r="J23" s="35">
        <f t="shared" si="1"/>
        <v>0.330296184270306</v>
      </c>
    </row>
    <row r="24" spans="1:10">
      <c r="A24" s="28">
        <v>45343</v>
      </c>
      <c r="B24" s="11">
        <f>IF(A24&lt;&gt;"",INDEX('[1]01-数据'!$C$2:$ND$2,MATCH(A24,'[1]01-数据'!$C$1:$ND$1))," ")</f>
        <v>245.32</v>
      </c>
      <c r="C24" s="11">
        <f>IF(A24&lt;&gt;"",INDEX('[1]01-数据'!$C$3:$ND$3,MATCH(A24,'[1]01-数据'!$C$1:$ND$1))," ")</f>
        <v>4520.28</v>
      </c>
      <c r="D24" s="15">
        <f>IF(A24&lt;&gt;"",INDEX('[1]01-数据'!$C$4:$ND$4,MATCH(A24,'[1]01-数据'!$C$1:$ND$1))," ")</f>
        <v>-0.0975</v>
      </c>
      <c r="E24" s="11">
        <f>IF(A24&lt;&gt;"",INDEX('[1]01-数据'!$C$6:$ND$6,MATCH(A24,'[1]01-数据'!$C$1:$ND$1))," ")</f>
        <v>12854.46</v>
      </c>
      <c r="F24" s="15">
        <f>IF(A24&lt;&gt;"",INDEX('[1]01-数据'!$C$7:$ND$7,MATCH(A24,'[1]01-数据'!$C$1:$ND$1))," ")</f>
        <v>0.1022</v>
      </c>
      <c r="G24" s="11">
        <f>IF(A24&lt;&gt;"",INDEX('[1]01-数据'!$C$11:$ND$11,MATCH(A24,'[1]01-数据'!$C$1:$ND$1))," ")</f>
        <v>11.07</v>
      </c>
      <c r="H24" s="11">
        <f>IF(A24&lt;&gt;"",INDEX('[1]01-数据'!$C$14:$ND$14,MATCH(A24,'[1]01-数据'!$C$1:$ND$1))," ")</f>
        <v>7.96</v>
      </c>
      <c r="I24" s="34">
        <v>3403.82</v>
      </c>
      <c r="J24" s="35">
        <f t="shared" si="1"/>
        <v>0.328002068264479</v>
      </c>
    </row>
    <row r="25" spans="1:10">
      <c r="A25" s="28">
        <v>45344</v>
      </c>
      <c r="B25" s="11">
        <f>IF(A25&lt;&gt;"",INDEX('[1]01-数据'!$C$2:$ND$2,MATCH(A25,'[1]01-数据'!$C$1:$ND$1))," ")</f>
        <v>255.53</v>
      </c>
      <c r="C25" s="11">
        <f>IF(A25&lt;&gt;"",INDEX('[1]01-数据'!$C$3:$ND$3,MATCH(A25,'[1]01-数据'!$C$1:$ND$1))," ")</f>
        <v>4775.81</v>
      </c>
      <c r="D25" s="15">
        <f>IF(A25&lt;&gt;"",INDEX('[1]01-数据'!$C$4:$ND$4,MATCH(A25,'[1]01-数据'!$C$1:$ND$1))," ")</f>
        <v>-0.0919</v>
      </c>
      <c r="E25" s="11">
        <f>IF(A25&lt;&gt;"",INDEX('[1]01-数据'!$C$6:$ND$6,MATCH(A25,'[1]01-数据'!$C$1:$ND$1))," ")</f>
        <v>13109.99</v>
      </c>
      <c r="F25" s="15">
        <f>IF(A25&lt;&gt;"",INDEX('[1]01-数据'!$C$7:$ND$7,MATCH(A25,'[1]01-数据'!$C$1:$ND$1))," ")</f>
        <v>0.1005</v>
      </c>
      <c r="G25" s="11">
        <f>IF(A25&lt;&gt;"",INDEX('[1]01-数据'!$C$11:$ND$11,MATCH(A25,'[1]01-数据'!$C$1:$ND$1))," ")</f>
        <v>11.53</v>
      </c>
      <c r="H25" s="11">
        <f>IF(A25&lt;&gt;"",INDEX('[1]01-数据'!$C$14:$ND$14,MATCH(A25,'[1]01-数据'!$C$1:$ND$1))," ")</f>
        <v>8.27</v>
      </c>
      <c r="I25" s="34">
        <v>3594.1</v>
      </c>
      <c r="J25" s="35">
        <f t="shared" si="1"/>
        <v>0.328791630728138</v>
      </c>
    </row>
    <row r="26" spans="1:10">
      <c r="A26" s="28">
        <v>45345</v>
      </c>
      <c r="B26" s="11">
        <f>IF(A26&lt;&gt;"",INDEX('[1]01-数据'!$C$2:$ND$2,MATCH(A26,'[1]01-数据'!$C$1:$ND$1))," ")</f>
        <v>261</v>
      </c>
      <c r="C26" s="11">
        <f>IF(A26&lt;&gt;"",INDEX('[1]01-数据'!$C$3:$ND$3,MATCH(A26,'[1]01-数据'!$C$1:$ND$1))," ")</f>
        <v>5036.81</v>
      </c>
      <c r="D26" s="15">
        <f>IF(A26&lt;&gt;"",INDEX('[1]01-数据'!$C$4:$ND$4,MATCH(A26,'[1]01-数据'!$C$1:$ND$1))," ")</f>
        <v>-0.0858</v>
      </c>
      <c r="E26" s="11">
        <f>IF(A26&lt;&gt;"",INDEX('[1]01-数据'!$C$6:$ND$6,MATCH(A26,'[1]01-数据'!$C$1:$ND$1))," ")</f>
        <v>13370.99</v>
      </c>
      <c r="F26" s="15">
        <f>IF(A26&lt;&gt;"",INDEX('[1]01-数据'!$C$7:$ND$7,MATCH(A26,'[1]01-数据'!$C$1:$ND$1))," ")</f>
        <v>0.0993</v>
      </c>
      <c r="G26" s="11">
        <f>IF(A26&lt;&gt;"",INDEX('[1]01-数据'!$C$11:$ND$11,MATCH(A26,'[1]01-数据'!$C$1:$ND$1))," ")</f>
        <v>11.74</v>
      </c>
      <c r="H26" s="11">
        <f>IF(A26&lt;&gt;"",INDEX('[1]01-数据'!$C$14:$ND$14,MATCH(A26,'[1]01-数据'!$C$1:$ND$1))," ")</f>
        <v>8.49</v>
      </c>
      <c r="I26" s="34">
        <v>3781.44</v>
      </c>
      <c r="J26" s="35">
        <f t="shared" si="1"/>
        <v>0.331981996276551</v>
      </c>
    </row>
    <row r="27" spans="1:10">
      <c r="A27" s="27">
        <v>45346</v>
      </c>
      <c r="B27" s="8">
        <f>IF(A27&lt;&gt;"",INDEX('[1]01-数据'!$C$2:$ND$2,MATCH(A27,'[1]01-数据'!$C$1:$ND$1))," ")</f>
        <v>254.81</v>
      </c>
      <c r="C27" s="8">
        <f>IF(A27&lt;&gt;"",INDEX('[1]01-数据'!$C$3:$ND$3,MATCH(A27,'[1]01-数据'!$C$1:$ND$1))," ")</f>
        <v>5291.62</v>
      </c>
      <c r="D27" s="14">
        <f>IF(A27&lt;&gt;"",INDEX('[1]01-数据'!$C$4:$ND$4,MATCH(A27,'[1]01-数据'!$C$1:$ND$1))," ")</f>
        <v>-0.0812</v>
      </c>
      <c r="E27" s="8">
        <f>IF(A27&lt;&gt;"",INDEX('[1]01-数据'!$C$6:$ND$6,MATCH(A27,'[1]01-数据'!$C$1:$ND$1))," ")</f>
        <v>13625.8</v>
      </c>
      <c r="F27" s="14">
        <f>IF(A27&lt;&gt;"",INDEX('[1]01-数据'!$C$7:$ND$7,MATCH(A27,'[1]01-数据'!$C$1:$ND$1))," ")</f>
        <v>0.0978</v>
      </c>
      <c r="G27" s="8">
        <f>IF(A27&lt;&gt;"",INDEX('[1]01-数据'!$C$11:$ND$11,MATCH(A27,'[1]01-数据'!$C$1:$ND$1))," ")</f>
        <v>11.37</v>
      </c>
      <c r="H27" s="8">
        <f>IF(A27&lt;&gt;"",INDEX('[1]01-数据'!$C$14:$ND$14,MATCH(A27,'[1]01-数据'!$C$1:$ND$1))," ")</f>
        <v>8.53</v>
      </c>
      <c r="I27" s="34">
        <v>3964.04</v>
      </c>
      <c r="J27" s="35">
        <f t="shared" si="1"/>
        <v>0.334905803170503</v>
      </c>
    </row>
    <row r="28" spans="1:10">
      <c r="A28" s="27">
        <v>45347</v>
      </c>
      <c r="B28" s="8">
        <f>IF(A28&lt;&gt;"",INDEX('[1]01-数据'!$C$2:$ND$2,MATCH(A28,'[1]01-数据'!$C$1:$ND$1))," ")</f>
        <v>254.04</v>
      </c>
      <c r="C28" s="8">
        <f>IF(A28&lt;&gt;"",INDEX('[1]01-数据'!$C$3:$ND$3,MATCH(A28,'[1]01-数据'!$C$1:$ND$1))," ")</f>
        <v>5545.66</v>
      </c>
      <c r="D28" s="14">
        <f>IF(A28&lt;&gt;"",INDEX('[1]01-数据'!$C$4:$ND$4,MATCH(A28,'[1]01-数据'!$C$1:$ND$1))," ")</f>
        <v>-0.0762</v>
      </c>
      <c r="E28" s="8">
        <f>IF(A28&lt;&gt;"",INDEX('[1]01-数据'!$C$6:$ND$6,MATCH(A28,'[1]01-数据'!$C$1:$ND$1))," ")</f>
        <v>13879.84</v>
      </c>
      <c r="F28" s="14">
        <f>IF(A28&lt;&gt;"",INDEX('[1]01-数据'!$C$7:$ND$7,MATCH(A28,'[1]01-数据'!$C$1:$ND$1))," ")</f>
        <v>0.0967</v>
      </c>
      <c r="G28" s="8">
        <f>IF(A28&lt;&gt;"",INDEX('[1]01-数据'!$C$11:$ND$11,MATCH(A28,'[1]01-数据'!$C$1:$ND$1))," ")</f>
        <v>11.51</v>
      </c>
      <c r="H28" s="8">
        <f>IF(A28&lt;&gt;"",INDEX('[1]01-数据'!$C$14:$ND$14,MATCH(A28,'[1]01-数据'!$C$1:$ND$1))," ")</f>
        <v>8.43</v>
      </c>
      <c r="I28" s="34">
        <v>4151.35</v>
      </c>
      <c r="J28" s="35">
        <f t="shared" si="1"/>
        <v>0.335869054644874</v>
      </c>
    </row>
    <row r="29" spans="1:10">
      <c r="A29" s="28">
        <v>45348</v>
      </c>
      <c r="B29" s="11">
        <f>IF(A29&lt;&gt;"",INDEX('[1]01-数据'!$C$2:$ND$2,MATCH(A29,'[1]01-数据'!$C$1:$ND$1))," ")</f>
        <v>262.04</v>
      </c>
      <c r="C29" s="11">
        <f>IF(A29&lt;&gt;"",INDEX('[1]01-数据'!$C$3:$ND$3,MATCH(A29,'[1]01-数据'!$C$1:$ND$1))," ")</f>
        <v>5807.7</v>
      </c>
      <c r="D29" s="15">
        <f>IF(A29&lt;&gt;"",INDEX('[1]01-数据'!$C$4:$ND$4,MATCH(A29,'[1]01-数据'!$C$1:$ND$1))," ")</f>
        <v>-0.0692</v>
      </c>
      <c r="E29" s="11">
        <f>IF(A29&lt;&gt;"",INDEX('[1]01-数据'!$C$6:$ND$6,MATCH(A29,'[1]01-数据'!$C$1:$ND$1))," ")</f>
        <v>14141.88</v>
      </c>
      <c r="F29" s="15">
        <f>IF(A29&lt;&gt;"",INDEX('[1]01-数据'!$C$7:$ND$7,MATCH(A29,'[1]01-数据'!$C$1:$ND$1))," ")</f>
        <v>0.0969</v>
      </c>
      <c r="G29" s="11">
        <f>IF(A29&lt;&gt;"",INDEX('[1]01-数据'!$C$11:$ND$11,MATCH(A29,'[1]01-数据'!$C$1:$ND$1))," ")</f>
        <v>11.76</v>
      </c>
      <c r="H29" s="11">
        <f>IF(A29&lt;&gt;"",INDEX('[1]01-数据'!$C$14:$ND$14,MATCH(A29,'[1]01-数据'!$C$1:$ND$1))," ")</f>
        <v>8.49</v>
      </c>
      <c r="I29" s="34">
        <v>4341.05</v>
      </c>
      <c r="J29" s="35">
        <f t="shared" si="1"/>
        <v>0.337856048651824</v>
      </c>
    </row>
    <row r="30" spans="1:10">
      <c r="A30" s="28">
        <v>45349</v>
      </c>
      <c r="B30" s="11">
        <f>IF(A30&lt;&gt;"",INDEX('[1]01-数据'!$C$2:$ND$2,MATCH(A30,'[1]01-数据'!$C$1:$ND$1))," ")</f>
        <v>261.35</v>
      </c>
      <c r="C30" s="11">
        <f>IF(A30&lt;&gt;"",INDEX('[1]01-数据'!$C$3:$ND$3,MATCH(A30,'[1]01-数据'!$C$1:$ND$1))," ")</f>
        <v>6069.06</v>
      </c>
      <c r="D30" s="15">
        <f>IF(A30&lt;&gt;"",INDEX('[1]01-数据'!$C$4:$ND$4,MATCH(A30,'[1]01-数据'!$C$1:$ND$1))," ")</f>
        <v>-0.0635</v>
      </c>
      <c r="E30" s="11">
        <f>IF(A30&lt;&gt;"",INDEX('[1]01-数据'!$C$6:$ND$6,MATCH(A30,'[1]01-数据'!$C$1:$ND$1))," ")</f>
        <v>14403.24</v>
      </c>
      <c r="F30" s="15">
        <f>IF(A30&lt;&gt;"",INDEX('[1]01-数据'!$C$7:$ND$7,MATCH(A30,'[1]01-数据'!$C$1:$ND$1))," ")</f>
        <v>0.0967</v>
      </c>
      <c r="G30" s="11">
        <f>IF(A30&lt;&gt;"",INDEX('[1]01-数据'!$C$11:$ND$11,MATCH(A30,'[1]01-数据'!$C$1:$ND$1))," ")</f>
        <v>11.62</v>
      </c>
      <c r="H30" s="11">
        <f>IF(A30&lt;&gt;"",INDEX('[1]01-数据'!$C$14:$ND$14,MATCH(A30,'[1]01-数据'!$C$1:$ND$1))," ")</f>
        <v>8.69</v>
      </c>
      <c r="I30" s="34">
        <v>4532.15</v>
      </c>
      <c r="J30" s="35">
        <f t="shared" si="1"/>
        <v>0.339112783116181</v>
      </c>
    </row>
    <row r="31" spans="1:10">
      <c r="A31" s="28">
        <v>45350</v>
      </c>
      <c r="B31" s="11">
        <f>IF(A31&lt;&gt;"",INDEX('[1]01-数据'!$C$2:$ND$2,MATCH(A31,'[1]01-数据'!$C$1:$ND$1))," ")</f>
        <v>263.6</v>
      </c>
      <c r="C31" s="11">
        <f>IF(A31&lt;&gt;"",INDEX('[1]01-数据'!$C$3:$ND$3,MATCH(A31,'[1]01-数据'!$C$1:$ND$1))," ")</f>
        <v>6332.66</v>
      </c>
      <c r="D31" s="15">
        <f>IF(A31&lt;&gt;"",INDEX('[1]01-数据'!$C$4:$ND$4,MATCH(A31,'[1]01-数据'!$C$1:$ND$1))," ")</f>
        <v>-0.0576</v>
      </c>
      <c r="E31" s="11">
        <f>IF(A31&lt;&gt;"",INDEX('[1]01-数据'!$C$6:$ND$6,MATCH(A31,'[1]01-数据'!$C$1:$ND$1))," ")</f>
        <v>14666.84</v>
      </c>
      <c r="F31" s="15">
        <f>IF(A31&lt;&gt;"",INDEX('[1]01-数据'!$C$7:$ND$7,MATCH(A31,'[1]01-数据'!$C$1:$ND$1))," ")</f>
        <v>0.0968</v>
      </c>
      <c r="G31" s="11">
        <f>IF(A31&lt;&gt;"",INDEX('[1]01-数据'!$C$11:$ND$11,MATCH(A31,'[1]01-数据'!$C$1:$ND$1))," ")</f>
        <v>11.86</v>
      </c>
      <c r="H31" s="11">
        <f>IF(A31&lt;&gt;"",INDEX('[1]01-数据'!$C$14:$ND$14,MATCH(A31,'[1]01-数据'!$C$1:$ND$1))," ")</f>
        <v>8.67</v>
      </c>
      <c r="I31" s="34">
        <v>4721.52</v>
      </c>
      <c r="J31" s="35">
        <f t="shared" si="1"/>
        <v>0.341233331638964</v>
      </c>
    </row>
    <row r="32" spans="1:8">
      <c r="A32" s="28">
        <v>45351</v>
      </c>
      <c r="B32" s="11">
        <f>IF(A32&lt;&gt;"",INDEX('[1]01-数据'!$C$2:$ND$2,MATCH(A32,'[1]01-数据'!$C$1:$ND$1))," ")</f>
        <v>265.97</v>
      </c>
      <c r="C32" s="11">
        <f>IF(A32&lt;&gt;"",INDEX('[1]01-数据'!$C$3:$ND$3,MATCH(A32,'[1]01-数据'!$C$1:$ND$1))," ")</f>
        <v>6598.63</v>
      </c>
      <c r="D32" s="15">
        <f>IF(A32&lt;&gt;"",INDEX('[1]01-数据'!$C$4:$ND$4,MATCH(A32,'[1]01-数据'!$C$1:$ND$1))," ")</f>
        <v>-0.0519</v>
      </c>
      <c r="E32" s="11">
        <f>IF(A32&lt;&gt;"",INDEX('[1]01-数据'!$C$6:$ND$6,MATCH(A32,'[1]01-数据'!$C$1:$ND$1))," ")</f>
        <v>14932.8</v>
      </c>
      <c r="F32" s="15">
        <f>IF(A32&lt;&gt;"",INDEX('[1]01-数据'!$C$7:$ND$7,MATCH(A32,'[1]01-数据'!$C$1:$ND$1))," ")</f>
        <v>0.1166</v>
      </c>
      <c r="G32" s="11">
        <f>IF(A32&lt;&gt;"",INDEX('[1]01-数据'!$C$11:$ND$11,MATCH(A32,'[1]01-数据'!$C$1:$ND$1))," ")</f>
        <v>11.89</v>
      </c>
      <c r="H32" s="11">
        <f>IF(A32&lt;&gt;"",INDEX('[1]01-数据'!$C$14:$ND$14,MATCH(A32,'[1]01-数据'!$C$1:$ND$1))," ")</f>
        <v>8.73</v>
      </c>
    </row>
    <row r="33" spans="1:8">
      <c r="A33" s="13" t="s">
        <v>11</v>
      </c>
      <c r="B33" s="13"/>
      <c r="C33" s="13"/>
      <c r="D33" s="13"/>
      <c r="E33" s="13"/>
      <c r="F33" s="13"/>
      <c r="G33" s="16"/>
      <c r="H33" s="16"/>
    </row>
    <row r="36" spans="3:6">
      <c r="C36" t="s">
        <v>14</v>
      </c>
      <c r="D36" s="33">
        <f>C32/6719.74-1</f>
        <v>-0.0180230187477491</v>
      </c>
      <c r="E36">
        <f>C31/(1+D31)</f>
        <v>6719.7156196944</v>
      </c>
      <c r="F36">
        <f>E36/28</f>
        <v>239.989843560514</v>
      </c>
    </row>
    <row r="37" spans="3:6">
      <c r="C37" t="s">
        <v>15</v>
      </c>
      <c r="D37" s="33">
        <v>0.1166</v>
      </c>
      <c r="E37">
        <f>C32/(1+D32)</f>
        <v>6959.84600780508</v>
      </c>
      <c r="F37">
        <f>C32/29</f>
        <v>227.538965517241</v>
      </c>
    </row>
    <row r="38" spans="6:6">
      <c r="F38">
        <f>F37/F36-1</f>
        <v>-0.0518808540334469</v>
      </c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13" workbookViewId="0">
      <selection activeCell="E34" sqref="C34 E34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16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28">
        <v>45352</v>
      </c>
      <c r="B4" s="11">
        <f>IF(A4&lt;&gt;"",INDEX('[1]01-数据'!$C$2:$ND$2,MATCH(A4,'[1]01-数据'!$C$1:$ND$1))," ")</f>
        <v>267.19</v>
      </c>
      <c r="C4" s="11">
        <f>IF(A4&lt;&gt;"",INDEX('[1]01-数据'!$C$3:$ND$3,MATCH(A4,'[1]01-数据'!$C$1:$ND$1))," ")</f>
        <v>267.19</v>
      </c>
      <c r="D4" s="12">
        <f>IF(A4&lt;&gt;"",INDEX('[1]01-数据'!$C$4:$ND$4,MATCH(A4,'[1]01-数据'!$C$1:$ND$1))," ")</f>
        <v>0.1288</v>
      </c>
      <c r="E4" s="11">
        <f>IF(A4&lt;&gt;"",INDEX('[1]01-数据'!$C$6:$ND$6,MATCH(A4,'[1]01-数据'!$C$1:$ND$1))," ")</f>
        <v>15200</v>
      </c>
      <c r="F4" s="15">
        <f>IF(A4&lt;&gt;"",INDEX('[1]01-数据'!$C$7:$ND$7,MATCH(A4,'[1]01-数据'!$C$1:$ND$1))," ")</f>
        <v>0.1169</v>
      </c>
      <c r="G4" s="11">
        <f>IF(A4&lt;&gt;"",INDEX('[1]01-数据'!$C$11:$ND$11,MATCH(A4,'[1]01-数据'!$C$1:$ND$1))," ")</f>
        <v>11.85</v>
      </c>
      <c r="H4" s="11">
        <f>IF(A4&lt;&gt;"",INDEX('[1]01-数据'!$C$14:$ND$14,MATCH(A4,'[1]01-数据'!$C$1:$ND$1))," ")</f>
        <v>8.84</v>
      </c>
    </row>
    <row r="5" spans="1:8">
      <c r="A5" s="27">
        <v>45353</v>
      </c>
      <c r="B5" s="8">
        <f>IF(A5&lt;&gt;"",INDEX('[1]01-数据'!$C$2:$ND$2,MATCH(A5,'[1]01-数据'!$C$1:$ND$1))," ")</f>
        <v>259.83</v>
      </c>
      <c r="C5" s="8">
        <f>IF(A5&lt;&gt;"",INDEX('[1]01-数据'!$C$3:$ND$3,MATCH(A5,'[1]01-数据'!$C$1:$ND$1))," ")</f>
        <v>527.02</v>
      </c>
      <c r="D5" s="14">
        <f>IF(A5&lt;&gt;"",INDEX('[1]01-数据'!$C$4:$ND$4,MATCH(A5,'[1]01-数据'!$C$1:$ND$1))," ")</f>
        <v>0.1092</v>
      </c>
      <c r="E5" s="8">
        <f>IF(A5&lt;&gt;"",INDEX('[1]01-数据'!$C$6:$ND$6,MATCH(A5,'[1]01-数据'!$C$1:$ND$1))," ")</f>
        <v>15459.83</v>
      </c>
      <c r="F5" s="14">
        <f>IF(A5&lt;&gt;"",INDEX('[1]01-数据'!$C$7:$ND$7,MATCH(A5,'[1]01-数据'!$C$1:$ND$1))," ")</f>
        <v>0.1164</v>
      </c>
      <c r="G5" s="8">
        <f>IF(A5&lt;&gt;"",INDEX('[1]01-数据'!$C$11:$ND$11,MATCH(A5,'[1]01-数据'!$C$1:$ND$1))," ")</f>
        <v>11.37</v>
      </c>
      <c r="H5" s="8">
        <f>IF(A5&lt;&gt;"",INDEX('[1]01-数据'!$C$14:$ND$14,MATCH(A5,'[1]01-数据'!$C$1:$ND$1))," ")</f>
        <v>8.89</v>
      </c>
    </row>
    <row r="6" spans="1:8">
      <c r="A6" s="27">
        <v>45354</v>
      </c>
      <c r="B6" s="8">
        <f>IF(A6&lt;&gt;"",INDEX('[1]01-数据'!$C$2:$ND$2,MATCH(A6,'[1]01-数据'!$C$1:$ND$1))," ")</f>
        <v>251.65</v>
      </c>
      <c r="C6" s="8">
        <f>IF(A6&lt;&gt;"",INDEX('[1]01-数据'!$C$3:$ND$3,MATCH(A6,'[1]01-数据'!$C$1:$ND$1))," ")</f>
        <v>778.67</v>
      </c>
      <c r="D6" s="14">
        <f>IF(A6&lt;&gt;"",INDEX('[1]01-数据'!$C$4:$ND$4,MATCH(A6,'[1]01-数据'!$C$1:$ND$1))," ")</f>
        <v>0.0911</v>
      </c>
      <c r="E6" s="8">
        <f>IF(A6&lt;&gt;"",INDEX('[1]01-数据'!$C$6:$ND$6,MATCH(A6,'[1]01-数据'!$C$1:$ND$1))," ")</f>
        <v>15711.47</v>
      </c>
      <c r="F6" s="14">
        <f>IF(A6&lt;&gt;"",INDEX('[1]01-数据'!$C$7:$ND$7,MATCH(A6,'[1]01-数据'!$C$1:$ND$1))," ")</f>
        <v>0.1153</v>
      </c>
      <c r="G6" s="8">
        <f>IF(A6&lt;&gt;"",INDEX('[1]01-数据'!$C$11:$ND$11,MATCH(A6,'[1]01-数据'!$C$1:$ND$1))," ")</f>
        <v>11.09</v>
      </c>
      <c r="H6" s="8">
        <f>IF(A6&lt;&gt;"",INDEX('[1]01-数据'!$C$14:$ND$14,MATCH(A6,'[1]01-数据'!$C$1:$ND$1))," ")</f>
        <v>8.74</v>
      </c>
    </row>
    <row r="7" spans="1:8">
      <c r="A7" s="28">
        <v>45355</v>
      </c>
      <c r="B7" s="11">
        <f>IF(A7&lt;&gt;"",INDEX('[1]01-数据'!$C$2:$ND$2,MATCH(A7,'[1]01-数据'!$C$1:$ND$1))," ")</f>
        <v>258.79</v>
      </c>
      <c r="C7" s="11">
        <f>IF(A7&lt;&gt;"",INDEX('[1]01-数据'!$C$3:$ND$3,MATCH(A7,'[1]01-数据'!$C$1:$ND$1))," ")</f>
        <v>1037.46</v>
      </c>
      <c r="D7" s="15">
        <f>IF(A7&lt;&gt;"",INDEX('[1]01-数据'!$C$4:$ND$4,MATCH(A7,'[1]01-数据'!$C$1:$ND$1))," ")</f>
        <v>0.0955</v>
      </c>
      <c r="E7" s="11">
        <f>IF(A7&lt;&gt;"",INDEX('[1]01-数据'!$C$6:$ND$6,MATCH(A7,'[1]01-数据'!$C$1:$ND$1))," ")</f>
        <v>15970.26</v>
      </c>
      <c r="F7" s="15">
        <f>IF(A7&lt;&gt;"",INDEX('[1]01-数据'!$C$7:$ND$7,MATCH(A7,'[1]01-数据'!$C$1:$ND$1))," ")</f>
        <v>0.1152</v>
      </c>
      <c r="G7" s="11">
        <f>IF(A7&lt;&gt;"",INDEX('[1]01-数据'!$C$11:$ND$11,MATCH(A7,'[1]01-数据'!$C$1:$ND$1))," ")</f>
        <v>11.62</v>
      </c>
      <c r="H7" s="11">
        <f>IF(A7&lt;&gt;"",INDEX('[1]01-数据'!$C$14:$ND$14,MATCH(A7,'[1]01-数据'!$C$1:$ND$1))," ")</f>
        <v>8.52</v>
      </c>
    </row>
    <row r="8" spans="1:8">
      <c r="A8" s="28">
        <v>45356</v>
      </c>
      <c r="B8" s="11">
        <f>IF(A8&lt;&gt;"",INDEX('[1]01-数据'!$C$2:$ND$2,MATCH(A8,'[1]01-数据'!$C$1:$ND$1))," ")</f>
        <v>261.14</v>
      </c>
      <c r="C8" s="11">
        <f>IF(A8&lt;&gt;"",INDEX('[1]01-数据'!$C$3:$ND$3,MATCH(A8,'[1]01-数据'!$C$1:$ND$1))," ")</f>
        <v>1298.6</v>
      </c>
      <c r="D8" s="12">
        <f>IF(A8&lt;&gt;"",INDEX('[1]01-数据'!$C$4:$ND$4,MATCH(A8,'[1]01-数据'!$C$1:$ND$1))," ")</f>
        <v>0.1067</v>
      </c>
      <c r="E8" s="11">
        <f>IF(A8&lt;&gt;"",INDEX('[1]01-数据'!$C$6:$ND$6,MATCH(A8,'[1]01-数据'!$C$1:$ND$1))," ")</f>
        <v>16231.4</v>
      </c>
      <c r="F8" s="15">
        <f>IF(A8&lt;&gt;"",INDEX('[1]01-数据'!$C$7:$ND$7,MATCH(A8,'[1]01-数据'!$C$1:$ND$1))," ")</f>
        <v>0.1158</v>
      </c>
      <c r="G8" s="11">
        <f>IF(A8&lt;&gt;"",INDEX('[1]01-数据'!$C$11:$ND$11,MATCH(A8,'[1]01-数据'!$C$1:$ND$1))," ")</f>
        <v>11.65</v>
      </c>
      <c r="H8" s="11">
        <f>IF(A8&lt;&gt;"",INDEX('[1]01-数据'!$C$14:$ND$14,MATCH(A8,'[1]01-数据'!$C$1:$ND$1))," ")</f>
        <v>8.74</v>
      </c>
    </row>
    <row r="9" spans="1:8">
      <c r="A9" s="28">
        <v>45357</v>
      </c>
      <c r="B9" s="11">
        <f>IF(A9&lt;&gt;"",INDEX('[1]01-数据'!$C$2:$ND$2,MATCH(A9,'[1]01-数据'!$C$1:$ND$1))," ")</f>
        <v>259.88</v>
      </c>
      <c r="C9" s="11">
        <f>IF(A9&lt;&gt;"",INDEX('[1]01-数据'!$C$3:$ND$3,MATCH(A9,'[1]01-数据'!$C$1:$ND$1))," ")</f>
        <v>1558.48</v>
      </c>
      <c r="D9" s="12">
        <f>IF(A9&lt;&gt;"",INDEX('[1]01-数据'!$C$4:$ND$4,MATCH(A9,'[1]01-数据'!$C$1:$ND$1))," ")</f>
        <v>0.1106</v>
      </c>
      <c r="E9" s="11">
        <f>IF(A9&lt;&gt;"",INDEX('[1]01-数据'!$C$6:$ND$6,MATCH(A9,'[1]01-数据'!$C$1:$ND$1))," ")</f>
        <v>16491.29</v>
      </c>
      <c r="F9" s="15">
        <f>IF(A9&lt;&gt;"",INDEX('[1]01-数据'!$C$7:$ND$7,MATCH(A9,'[1]01-数据'!$C$1:$ND$1))," ")</f>
        <v>0.1161</v>
      </c>
      <c r="G9" s="11">
        <f>IF(A9&lt;&gt;"",INDEX('[1]01-数据'!$C$11:$ND$11,MATCH(A9,'[1]01-数据'!$C$1:$ND$1))," ")</f>
        <v>11.54</v>
      </c>
      <c r="H9" s="11">
        <f>IF(A9&lt;&gt;"",INDEX('[1]01-数据'!$C$14:$ND$14,MATCH(A9,'[1]01-数据'!$C$1:$ND$1))," ")</f>
        <v>8.79</v>
      </c>
    </row>
    <row r="10" spans="1:8">
      <c r="A10" s="28">
        <v>45358</v>
      </c>
      <c r="B10" s="11">
        <f>IF(A10&lt;&gt;"",INDEX('[1]01-数据'!$C$2:$ND$2,MATCH(A10,'[1]01-数据'!$C$1:$ND$1))," ")</f>
        <v>257.37</v>
      </c>
      <c r="C10" s="11">
        <f>IF(A10&lt;&gt;"",INDEX('[1]01-数据'!$C$3:$ND$3,MATCH(A10,'[1]01-数据'!$C$1:$ND$1))," ")</f>
        <v>1815.83</v>
      </c>
      <c r="D10" s="12">
        <f>IF(A10&lt;&gt;"",INDEX('[1]01-数据'!$C$4:$ND$4,MATCH(A10,'[1]01-数据'!$C$1:$ND$1))," ")</f>
        <v>0.1113</v>
      </c>
      <c r="E10" s="11">
        <f>IF(A10&lt;&gt;"",INDEX('[1]01-数据'!$C$6:$ND$6,MATCH(A10,'[1]01-数据'!$C$1:$ND$1))," ")</f>
        <v>16748.63</v>
      </c>
      <c r="F10" s="15">
        <f>IF(A10&lt;&gt;"",INDEX('[1]01-数据'!$C$7:$ND$7,MATCH(A10,'[1]01-数据'!$C$1:$ND$1))," ")</f>
        <v>0.1161</v>
      </c>
      <c r="G10" s="11">
        <f>IF(A10&lt;&gt;"",INDEX('[1]01-数据'!$C$11:$ND$11,MATCH(A10,'[1]01-数据'!$C$1:$ND$1))," ")</f>
        <v>11.34</v>
      </c>
      <c r="H10" s="11">
        <f>IF(A10&lt;&gt;"",INDEX('[1]01-数据'!$C$14:$ND$14,MATCH(A10,'[1]01-数据'!$C$1:$ND$1))," ")</f>
        <v>8.84</v>
      </c>
    </row>
    <row r="11" spans="1:8">
      <c r="A11" s="28">
        <v>45359</v>
      </c>
      <c r="B11" s="11">
        <f>IF(A11&lt;&gt;"",INDEX('[1]01-数据'!$C$2:$ND$2,MATCH(A11,'[1]01-数据'!$C$1:$ND$1))," ")</f>
        <v>254.67</v>
      </c>
      <c r="C11" s="11">
        <f>IF(A11&lt;&gt;"",INDEX('[1]01-数据'!$C$3:$ND$3,MATCH(A11,'[1]01-数据'!$C$1:$ND$1))," ")</f>
        <v>2070.5</v>
      </c>
      <c r="D11" s="12">
        <f>IF(A11&lt;&gt;"",INDEX('[1]01-数据'!$C$4:$ND$4,MATCH(A11,'[1]01-数据'!$C$1:$ND$1))," ")</f>
        <v>0.1109</v>
      </c>
      <c r="E11" s="11">
        <f>IF(A11&lt;&gt;"",INDEX('[1]01-数据'!$C$6:$ND$6,MATCH(A11,'[1]01-数据'!$C$1:$ND$1))," ")</f>
        <v>17003.3</v>
      </c>
      <c r="F11" s="15">
        <f>IF(A11&lt;&gt;"",INDEX('[1]01-数据'!$C$7:$ND$7,MATCH(A11,'[1]01-数据'!$C$1:$ND$1))," ")</f>
        <v>0.1159</v>
      </c>
      <c r="G11" s="11">
        <f>IF(A11&lt;&gt;"",INDEX('[1]01-数据'!$C$11:$ND$11,MATCH(A11,'[1]01-数据'!$C$1:$ND$1))," ")</f>
        <v>11.15</v>
      </c>
      <c r="H11" s="11">
        <f>IF(A11&lt;&gt;"",INDEX('[1]01-数据'!$C$14:$ND$14,MATCH(A11,'[1]01-数据'!$C$1:$ND$1))," ")</f>
        <v>8.79</v>
      </c>
    </row>
    <row r="12" spans="1:8">
      <c r="A12" s="27">
        <v>45360</v>
      </c>
      <c r="B12" s="8">
        <f>IF(A12&lt;&gt;"",INDEX('[1]01-数据'!$C$2:$ND$2,MATCH(A12,'[1]01-数据'!$C$1:$ND$1))," ")</f>
        <v>251.01</v>
      </c>
      <c r="C12" s="8">
        <f>IF(A12&lt;&gt;"",INDEX('[1]01-数据'!$C$3:$ND$3,MATCH(A12,'[1]01-数据'!$C$1:$ND$1))," ")</f>
        <v>2321.51</v>
      </c>
      <c r="D12" s="9">
        <f>IF(A12&lt;&gt;"",INDEX('[1]01-数据'!$C$4:$ND$4,MATCH(A12,'[1]01-数据'!$C$1:$ND$1))," ")</f>
        <v>0.1092</v>
      </c>
      <c r="E12" s="8">
        <f>IF(A12&lt;&gt;"",INDEX('[1]01-数据'!$C$6:$ND$6,MATCH(A12,'[1]01-数据'!$C$1:$ND$1))," ")</f>
        <v>17254.31</v>
      </c>
      <c r="F12" s="14">
        <f>IF(A12&lt;&gt;"",INDEX('[1]01-数据'!$C$7:$ND$7,MATCH(A12,'[1]01-数据'!$C$1:$ND$1))," ")</f>
        <v>0.1156</v>
      </c>
      <c r="G12" s="8">
        <f>IF(A12&lt;&gt;"",INDEX('[1]01-数据'!$C$11:$ND$11,MATCH(A12,'[1]01-数据'!$C$1:$ND$1))," ")</f>
        <v>10.95</v>
      </c>
      <c r="H12" s="8">
        <f>IF(A12&lt;&gt;"",INDEX('[1]01-数据'!$C$14:$ND$14,MATCH(A12,'[1]01-数据'!$C$1:$ND$1))," ")</f>
        <v>8.72</v>
      </c>
    </row>
    <row r="13" spans="1:11">
      <c r="A13" s="27">
        <v>45361</v>
      </c>
      <c r="B13" s="8">
        <f>IF(A13&lt;&gt;"",INDEX('[1]01-数据'!$C$2:$ND$2,MATCH(A13,'[1]01-数据'!$C$1:$ND$1))," ")</f>
        <v>244.69</v>
      </c>
      <c r="C13" s="8">
        <f>IF(A13&lt;&gt;"",INDEX('[1]01-数据'!$C$3:$ND$3,MATCH(A13,'[1]01-数据'!$C$1:$ND$1))," ")</f>
        <v>2566.2</v>
      </c>
      <c r="D13" s="9">
        <f>IF(A13&lt;&gt;"",INDEX('[1]01-数据'!$C$4:$ND$4,MATCH(A13,'[1]01-数据'!$C$1:$ND$1))," ")</f>
        <v>0.105</v>
      </c>
      <c r="E13" s="8">
        <f>IF(A13&lt;&gt;"",INDEX('[1]01-数据'!$C$6:$ND$6,MATCH(A13,'[1]01-数据'!$C$1:$ND$1))," ")</f>
        <v>17499.01</v>
      </c>
      <c r="F13" s="14">
        <f>IF(A13&lt;&gt;"",INDEX('[1]01-数据'!$C$7:$ND$7,MATCH(A13,'[1]01-数据'!$C$1:$ND$1))," ")</f>
        <v>0.1149</v>
      </c>
      <c r="G13" s="8">
        <f>IF(A13&lt;&gt;"",INDEX('[1]01-数据'!$C$11:$ND$11,MATCH(A13,'[1]01-数据'!$C$1:$ND$1))," ")</f>
        <v>10.67</v>
      </c>
      <c r="H13" s="8">
        <f>IF(A13&lt;&gt;"",INDEX('[1]01-数据'!$C$14:$ND$14,MATCH(A13,'[1]01-数据'!$C$1:$ND$1))," ")</f>
        <v>8.58</v>
      </c>
      <c r="K13" s="17"/>
    </row>
    <row r="14" spans="1:11">
      <c r="A14" s="28">
        <v>45362</v>
      </c>
      <c r="B14" s="11">
        <f>IF(A14&lt;&gt;"",INDEX('[1]01-数据'!$C$2:$ND$2,MATCH(A14,'[1]01-数据'!$C$1:$ND$1))," ")</f>
        <v>246.29</v>
      </c>
      <c r="C14" s="11">
        <f>IF(A14&lt;&gt;"",INDEX('[1]01-数据'!$C$3:$ND$3,MATCH(A14,'[1]01-数据'!$C$1:$ND$1))," ")</f>
        <v>2812.49</v>
      </c>
      <c r="D14" s="15">
        <f>IF(A14&lt;&gt;"",INDEX('[1]01-数据'!$C$4:$ND$4,MATCH(A14,'[1]01-数据'!$C$1:$ND$1))," ")</f>
        <v>0.1028</v>
      </c>
      <c r="E14" s="11">
        <f>IF(A14&lt;&gt;"",INDEX('[1]01-数据'!$C$6:$ND$6,MATCH(A14,'[1]01-数据'!$C$1:$ND$1))," ")</f>
        <v>17745.3</v>
      </c>
      <c r="F14" s="15">
        <f>IF(A14&lt;&gt;"",INDEX('[1]01-数据'!$C$7:$ND$7,MATCH(A14,'[1]01-数据'!$C$1:$ND$1))," ")</f>
        <v>0.1144</v>
      </c>
      <c r="G14" s="11">
        <f>IF(A14&lt;&gt;"",INDEX('[1]01-数据'!$C$11:$ND$11,MATCH(A14,'[1]01-数据'!$C$1:$ND$1))," ")</f>
        <v>10.95</v>
      </c>
      <c r="H14" s="11">
        <f>IF(A14&lt;&gt;"",INDEX('[1]01-数据'!$C$14:$ND$14,MATCH(A14,'[1]01-数据'!$C$1:$ND$1))," ")</f>
        <v>8.37</v>
      </c>
      <c r="K14" s="17"/>
    </row>
    <row r="15" spans="1:11">
      <c r="A15" s="28">
        <v>45363</v>
      </c>
      <c r="B15" s="11">
        <f>IF(A15&lt;&gt;"",INDEX('[1]01-数据'!$C$2:$ND$2,MATCH(A15,'[1]01-数据'!$C$1:$ND$1))," ")</f>
        <v>246.47</v>
      </c>
      <c r="C15" s="11">
        <f>IF(A15&lt;&gt;"",INDEX('[1]01-数据'!$C$3:$ND$3,MATCH(A15,'[1]01-数据'!$C$1:$ND$1))," ")</f>
        <v>3058.96</v>
      </c>
      <c r="D15" s="15">
        <f>IF(A15&lt;&gt;"",INDEX('[1]01-数据'!$C$4:$ND$4,MATCH(A15,'[1]01-数据'!$C$1:$ND$1))," ")</f>
        <v>0.1022</v>
      </c>
      <c r="E15" s="11">
        <f>IF(A15&lt;&gt;"",INDEX('[1]01-数据'!$C$6:$ND$6,MATCH(A15,'[1]01-数据'!$C$1:$ND$1))," ")</f>
        <v>17991.76</v>
      </c>
      <c r="F15" s="15">
        <f>IF(A15&lt;&gt;"",INDEX('[1]01-数据'!$C$7:$ND$7,MATCH(A15,'[1]01-数据'!$C$1:$ND$1))," ")</f>
        <v>0.1142</v>
      </c>
      <c r="G15" s="11">
        <f>IF(A15&lt;&gt;"",INDEX('[1]01-数据'!$C$11:$ND$11,MATCH(A15,'[1]01-数据'!$C$1:$ND$1))," ")</f>
        <v>10.76</v>
      </c>
      <c r="H15" s="11">
        <f>IF(A15&lt;&gt;"",INDEX('[1]01-数据'!$C$14:$ND$14,MATCH(A15,'[1]01-数据'!$C$1:$ND$1))," ")</f>
        <v>8.53</v>
      </c>
      <c r="K15" s="17"/>
    </row>
    <row r="16" spans="1:8">
      <c r="A16" s="28">
        <v>45364</v>
      </c>
      <c r="B16" s="11">
        <f>IF(A16&lt;&gt;"",INDEX('[1]01-数据'!$C$2:$ND$2,MATCH(A16,'[1]01-数据'!$C$1:$ND$1))," ")</f>
        <v>247.6</v>
      </c>
      <c r="C16" s="11">
        <f>IF(A16&lt;&gt;"",INDEX('[1]01-数据'!$C$3:$ND$3,MATCH(A16,'[1]01-数据'!$C$1:$ND$1))," ")</f>
        <v>3306.56</v>
      </c>
      <c r="D16" s="15">
        <f>IF(A16&lt;&gt;"",INDEX('[1]01-数据'!$C$4:$ND$4,MATCH(A16,'[1]01-数据'!$C$1:$ND$1))," ")</f>
        <v>0.1003</v>
      </c>
      <c r="E16" s="11">
        <f>IF(A16&lt;&gt;"",INDEX('[1]01-数据'!$C$6:$ND$6,MATCH(A16,'[1]01-数据'!$C$1:$ND$1))," ")</f>
        <v>18239.36</v>
      </c>
      <c r="F16" s="15">
        <f>IF(A16&lt;&gt;"",INDEX('[1]01-数据'!$C$7:$ND$7,MATCH(A16,'[1]01-数据'!$C$1:$ND$1))," ")</f>
        <v>0.1136</v>
      </c>
      <c r="G16" s="11">
        <f>IF(A16&lt;&gt;"",INDEX('[1]01-数据'!$C$11:$ND$11,MATCH(A16,'[1]01-数据'!$C$1:$ND$1))," ")</f>
        <v>10.83</v>
      </c>
      <c r="H16" s="11">
        <f>IF(A16&lt;&gt;"",INDEX('[1]01-数据'!$C$14:$ND$14,MATCH(A16,'[1]01-数据'!$C$1:$ND$1))," ")</f>
        <v>8.54</v>
      </c>
    </row>
    <row r="17" spans="1:8">
      <c r="A17" s="28">
        <v>45365</v>
      </c>
      <c r="B17" s="11">
        <f>IF(A17&lt;&gt;"",INDEX('[1]01-数据'!$C$2:$ND$2,MATCH(A17,'[1]01-数据'!$C$1:$ND$1))," ")</f>
        <v>247.51</v>
      </c>
      <c r="C17" s="11">
        <f>IF(A17&lt;&gt;"",INDEX('[1]01-数据'!$C$3:$ND$3,MATCH(A17,'[1]01-数据'!$C$1:$ND$1))," ")</f>
        <v>3554.07</v>
      </c>
      <c r="D17" s="15">
        <f>IF(A17&lt;&gt;"",INDEX('[1]01-数据'!$C$4:$ND$4,MATCH(A17,'[1]01-数据'!$C$1:$ND$1))," ")</f>
        <v>0.0983</v>
      </c>
      <c r="E17" s="11">
        <f>IF(A17&lt;&gt;"",INDEX('[1]01-数据'!$C$6:$ND$6,MATCH(A17,'[1]01-数据'!$C$1:$ND$1))," ")</f>
        <v>18486.87</v>
      </c>
      <c r="F17" s="15">
        <f>IF(A17&lt;&gt;"",INDEX('[1]01-数据'!$C$7:$ND$7,MATCH(A17,'[1]01-数据'!$C$1:$ND$1))," ")</f>
        <v>0.1131</v>
      </c>
      <c r="G17" s="11">
        <f>IF(A17&lt;&gt;"",INDEX('[1]01-数据'!$C$11:$ND$11,MATCH(A17,'[1]01-数据'!$C$1:$ND$1))," ")</f>
        <v>10.89</v>
      </c>
      <c r="H17" s="11">
        <f>IF(A17&lt;&gt;"",INDEX('[1]01-数据'!$C$14:$ND$14,MATCH(A17,'[1]01-数据'!$C$1:$ND$1))," ")</f>
        <v>8.5</v>
      </c>
    </row>
    <row r="18" spans="1:8">
      <c r="A18" s="28">
        <v>45366</v>
      </c>
      <c r="B18" s="11">
        <f>IF(A18&lt;&gt;"",INDEX('[1]01-数据'!$C$2:$ND$2,MATCH(A18,'[1]01-数据'!$C$1:$ND$1))," ")</f>
        <v>244.83</v>
      </c>
      <c r="C18" s="11">
        <f>IF(A18&lt;&gt;"",INDEX('[1]01-数据'!$C$3:$ND$3,MATCH(A18,'[1]01-数据'!$C$1:$ND$1))," ")</f>
        <v>3798.9</v>
      </c>
      <c r="D18" s="15">
        <f>IF(A18&lt;&gt;"",INDEX('[1]01-数据'!$C$4:$ND$4,MATCH(A18,'[1]01-数据'!$C$1:$ND$1))," ")</f>
        <v>0.0954</v>
      </c>
      <c r="E18" s="11">
        <f>IF(A18&lt;&gt;"",INDEX('[1]01-数据'!$C$6:$ND$6,MATCH(A18,'[1]01-数据'!$C$1:$ND$1))," ")</f>
        <v>18731.7</v>
      </c>
      <c r="F18" s="15">
        <f>IF(A18&lt;&gt;"",INDEX('[1]01-数据'!$C$7:$ND$7,MATCH(A18,'[1]01-数据'!$C$1:$ND$1))," ")</f>
        <v>0.1123</v>
      </c>
      <c r="G18" s="11">
        <f>IF(A18&lt;&gt;"",INDEX('[1]01-数据'!$C$11:$ND$11,MATCH(A18,'[1]01-数据'!$C$1:$ND$1))," ")</f>
        <v>10.72</v>
      </c>
      <c r="H18" s="11">
        <f>IF(A18&lt;&gt;"",INDEX('[1]01-数据'!$C$14:$ND$14,MATCH(A18,'[1]01-数据'!$C$1:$ND$1))," ")</f>
        <v>8.46</v>
      </c>
    </row>
    <row r="19" spans="1:8">
      <c r="A19" s="27">
        <v>45367</v>
      </c>
      <c r="B19" s="8">
        <f>IF(A19&lt;&gt;"",INDEX('[1]01-数据'!$C$2:$ND$2,MATCH(A19,'[1]01-数据'!$C$1:$ND$1))," ")</f>
        <v>240.4</v>
      </c>
      <c r="C19" s="8">
        <f>IF(A19&lt;&gt;"",INDEX('[1]01-数据'!$C$3:$ND$3,MATCH(A19,'[1]01-数据'!$C$1:$ND$1))," ")</f>
        <v>4039.3</v>
      </c>
      <c r="D19" s="14">
        <f>IF(A19&lt;&gt;"",INDEX('[1]01-数据'!$C$4:$ND$4,MATCH(A19,'[1]01-数据'!$C$1:$ND$1))," ")</f>
        <v>0.0908</v>
      </c>
      <c r="E19" s="8">
        <f>IF(A19&lt;&gt;"",INDEX('[1]01-数据'!$C$6:$ND$6,MATCH(A19,'[1]01-数据'!$C$1:$ND$1))," ")</f>
        <v>18972.11</v>
      </c>
      <c r="F19" s="14">
        <f>IF(A19&lt;&gt;"",INDEX('[1]01-数据'!$C$7:$ND$7,MATCH(A19,'[1]01-数据'!$C$1:$ND$1))," ")</f>
        <v>0.111</v>
      </c>
      <c r="G19" s="8">
        <f>IF(A19&lt;&gt;"",INDEX('[1]01-数据'!$C$11:$ND$11,MATCH(A19,'[1]01-数据'!$C$1:$ND$1))," ")</f>
        <v>10.46</v>
      </c>
      <c r="H19" s="8">
        <f>IF(A19&lt;&gt;"",INDEX('[1]01-数据'!$C$14:$ND$14,MATCH(A19,'[1]01-数据'!$C$1:$ND$1))," ")</f>
        <v>8.37</v>
      </c>
    </row>
    <row r="20" spans="1:8">
      <c r="A20" s="27">
        <v>45368</v>
      </c>
      <c r="B20" s="8">
        <f>IF(A20&lt;&gt;"",INDEX('[1]01-数据'!$C$2:$ND$2,MATCH(A20,'[1]01-数据'!$C$1:$ND$1))," ")</f>
        <v>236.46</v>
      </c>
      <c r="C20" s="8">
        <f>IF(A20&lt;&gt;"",INDEX('[1]01-数据'!$C$3:$ND$3,MATCH(A20,'[1]01-数据'!$C$1:$ND$1))," ")</f>
        <v>4275.76</v>
      </c>
      <c r="D20" s="14">
        <f>IF(A20&lt;&gt;"",INDEX('[1]01-数据'!$C$4:$ND$4,MATCH(A20,'[1]01-数据'!$C$1:$ND$1))," ")</f>
        <v>0.0847</v>
      </c>
      <c r="E20" s="8">
        <f>IF(A20&lt;&gt;"",INDEX('[1]01-数据'!$C$6:$ND$6,MATCH(A20,'[1]01-数据'!$C$1:$ND$1))," ")</f>
        <v>19208.57</v>
      </c>
      <c r="F20" s="14">
        <f>IF(A20&lt;&gt;"",INDEX('[1]01-数据'!$C$7:$ND$7,MATCH(A20,'[1]01-数据'!$C$1:$ND$1))," ")</f>
        <v>0.1094</v>
      </c>
      <c r="G20" s="8">
        <f>IF(A20&lt;&gt;"",INDEX('[1]01-数据'!$C$11:$ND$11,MATCH(A20,'[1]01-数据'!$C$1:$ND$1))," ")</f>
        <v>10.28</v>
      </c>
      <c r="H20" s="8">
        <f>IF(A20&lt;&gt;"",INDEX('[1]01-数据'!$C$14:$ND$14,MATCH(A20,'[1]01-数据'!$C$1:$ND$1))," ")</f>
        <v>8.27</v>
      </c>
    </row>
    <row r="21" spans="1:8">
      <c r="A21" s="28">
        <v>45369</v>
      </c>
      <c r="B21" s="11">
        <f>IF(A21&lt;&gt;"",INDEX('[1]01-数据'!$C$2:$ND$2,MATCH(A21,'[1]01-数据'!$C$1:$ND$1))," ")</f>
        <v>244.77</v>
      </c>
      <c r="C21" s="11">
        <f>IF(A21&lt;&gt;"",INDEX('[1]01-数据'!$C$3:$ND$3,MATCH(A21,'[1]01-数据'!$C$1:$ND$1))," ")</f>
        <v>4520.54</v>
      </c>
      <c r="D21" s="15">
        <f>IF(A21&lt;&gt;"",INDEX('[1]01-数据'!$C$4:$ND$4,MATCH(A21,'[1]01-数据'!$C$1:$ND$1))," ")</f>
        <v>0.0822</v>
      </c>
      <c r="E21" s="11">
        <f>IF(A21&lt;&gt;"",INDEX('[1]01-数据'!$C$6:$ND$6,MATCH(A21,'[1]01-数据'!$C$1:$ND$1))," ")</f>
        <v>19453.34</v>
      </c>
      <c r="F21" s="15">
        <f>IF(A21&lt;&gt;"",INDEX('[1]01-数据'!$C$7:$ND$7,MATCH(A21,'[1]01-数据'!$C$1:$ND$1))," ")</f>
        <v>0.1084</v>
      </c>
      <c r="G21" s="11">
        <f>IF(A21&lt;&gt;"",INDEX('[1]01-数据'!$C$11:$ND$11,MATCH(A21,'[1]01-数据'!$C$1:$ND$1))," ")</f>
        <v>10.9</v>
      </c>
      <c r="H21" s="11">
        <f>IF(A21&lt;&gt;"",INDEX('[1]01-数据'!$C$14:$ND$14,MATCH(A21,'[1]01-数据'!$C$1:$ND$1))," ")</f>
        <v>8.24</v>
      </c>
    </row>
    <row r="22" spans="1:8">
      <c r="A22" s="28">
        <v>45370</v>
      </c>
      <c r="B22" s="11">
        <f>IF(A22&lt;&gt;"",INDEX('[1]01-数据'!$C$2:$ND$2,MATCH(A22,'[1]01-数据'!$C$1:$ND$1))," ")</f>
        <v>244.29</v>
      </c>
      <c r="C22" s="11">
        <f>IF(A22&lt;&gt;"",INDEX('[1]01-数据'!$C$3:$ND$3,MATCH(A22,'[1]01-数据'!$C$1:$ND$1))," ")</f>
        <v>4764.83</v>
      </c>
      <c r="D22" s="15">
        <f>IF(A22&lt;&gt;"",INDEX('[1]01-数据'!$C$4:$ND$4,MATCH(A22,'[1]01-数据'!$C$1:$ND$1))," ")</f>
        <v>0.0814</v>
      </c>
      <c r="E22" s="11">
        <f>IF(A22&lt;&gt;"",INDEX('[1]01-数据'!$C$6:$ND$6,MATCH(A22,'[1]01-数据'!$C$1:$ND$1))," ")</f>
        <v>19697.63</v>
      </c>
      <c r="F22" s="15">
        <f>IF(A22&lt;&gt;"",INDEX('[1]01-数据'!$C$7:$ND$7,MATCH(A22,'[1]01-数据'!$C$1:$ND$1))," ")</f>
        <v>0.1079</v>
      </c>
      <c r="G22" s="11">
        <f>IF(A22&lt;&gt;"",INDEX('[1]01-数据'!$C$11:$ND$11,MATCH(A22,'[1]01-数据'!$C$1:$ND$1))," ")</f>
        <v>10.69</v>
      </c>
      <c r="H22" s="11">
        <f>IF(A22&lt;&gt;"",INDEX('[1]01-数据'!$C$14:$ND$14,MATCH(A22,'[1]01-数据'!$C$1:$ND$1))," ")</f>
        <v>8.48</v>
      </c>
    </row>
    <row r="23" spans="1:8">
      <c r="A23" s="28">
        <v>45371</v>
      </c>
      <c r="B23" s="11">
        <f>IF(A23&lt;&gt;"",INDEX('[1]01-数据'!$C$2:$ND$2,MATCH(A23,'[1]01-数据'!$C$1:$ND$1))," ")</f>
        <v>241.19</v>
      </c>
      <c r="C23" s="11">
        <f>IF(A23&lt;&gt;"",INDEX('[1]01-数据'!$C$3:$ND$3,MATCH(A23,'[1]01-数据'!$C$1:$ND$1))," ")</f>
        <v>5006.01</v>
      </c>
      <c r="D23" s="15">
        <f>IF(A23&lt;&gt;"",INDEX('[1]01-数据'!$C$4:$ND$4,MATCH(A23,'[1]01-数据'!$C$1:$ND$1))," ")</f>
        <v>0.0788</v>
      </c>
      <c r="E23" s="11">
        <f>IF(A23&lt;&gt;"",INDEX('[1]01-数据'!$C$6:$ND$6,MATCH(A23,'[1]01-数据'!$C$1:$ND$1))," ")</f>
        <v>19938.82</v>
      </c>
      <c r="F23" s="15">
        <f>IF(A23&lt;&gt;"",INDEX('[1]01-数据'!$C$7:$ND$7,MATCH(A23,'[1]01-数据'!$C$1:$ND$1))," ")</f>
        <v>0.1069</v>
      </c>
      <c r="G23" s="11">
        <f>IF(A23&lt;&gt;"",INDEX('[1]01-数据'!$C$11:$ND$11,MATCH(A23,'[1]01-数据'!$C$1:$ND$1))," ")</f>
        <v>10.56</v>
      </c>
      <c r="H23" s="11">
        <f>IF(A23&lt;&gt;"",INDEX('[1]01-数据'!$C$14:$ND$14,MATCH(A23,'[1]01-数据'!$C$1:$ND$1))," ")</f>
        <v>8.46</v>
      </c>
    </row>
    <row r="24" spans="1:8">
      <c r="A24" s="28">
        <v>45372</v>
      </c>
      <c r="B24" s="11">
        <f>IF(A24&lt;&gt;"",INDEX('[1]01-数据'!$C$2:$ND$2,MATCH(A24,'[1]01-数据'!$C$1:$ND$1))," ")</f>
        <v>242.02</v>
      </c>
      <c r="C24" s="11">
        <f>IF(A24&lt;&gt;"",INDEX('[1]01-数据'!$C$3:$ND$3,MATCH(A24,'[1]01-数据'!$C$1:$ND$1))," ")</f>
        <v>5248.03</v>
      </c>
      <c r="D24" s="15">
        <f>IF(A24&lt;&gt;"",INDEX('[1]01-数据'!$C$4:$ND$4,MATCH(A24,'[1]01-数据'!$C$1:$ND$1))," ")</f>
        <v>0.0765</v>
      </c>
      <c r="E24" s="11">
        <f>IF(A24&lt;&gt;"",INDEX('[1]01-数据'!$C$6:$ND$6,MATCH(A24,'[1]01-数据'!$C$1:$ND$1))," ")</f>
        <v>20180.84</v>
      </c>
      <c r="F24" s="15">
        <f>IF(A24&lt;&gt;"",INDEX('[1]01-数据'!$C$7:$ND$7,MATCH(A24,'[1]01-数据'!$C$1:$ND$1))," ")</f>
        <v>0.1059</v>
      </c>
      <c r="G24" s="11">
        <f>IF(A24&lt;&gt;"",INDEX('[1]01-数据'!$C$11:$ND$11,MATCH(A24,'[1]01-数据'!$C$1:$ND$1))," ")</f>
        <v>10.51</v>
      </c>
      <c r="H24" s="11">
        <f>IF(A24&lt;&gt;"",INDEX('[1]01-数据'!$C$14:$ND$14,MATCH(A24,'[1]01-数据'!$C$1:$ND$1))," ")</f>
        <v>8.42</v>
      </c>
    </row>
    <row r="25" spans="1:8">
      <c r="A25" s="28">
        <v>45373</v>
      </c>
      <c r="B25" s="11">
        <f>IF(A25&lt;&gt;"",INDEX('[1]01-数据'!$C$2:$ND$2,MATCH(A25,'[1]01-数据'!$C$1:$ND$1))," ")</f>
        <v>241.76</v>
      </c>
      <c r="C25" s="11">
        <f>IF(A25&lt;&gt;"",INDEX('[1]01-数据'!$C$3:$ND$3,MATCH(A25,'[1]01-数据'!$C$1:$ND$1))," ")</f>
        <v>5489.8</v>
      </c>
      <c r="D25" s="15">
        <f>IF(A25&lt;&gt;"",INDEX('[1]01-数据'!$C$4:$ND$4,MATCH(A25,'[1]01-数据'!$C$1:$ND$1))," ")</f>
        <v>0.0742</v>
      </c>
      <c r="E25" s="11">
        <f>IF(A25&lt;&gt;"",INDEX('[1]01-数据'!$C$6:$ND$6,MATCH(A25,'[1]01-数据'!$C$1:$ND$1))," ")</f>
        <v>20422.6</v>
      </c>
      <c r="F25" s="15">
        <f>IF(A25&lt;&gt;"",INDEX('[1]01-数据'!$C$7:$ND$7,MATCH(A25,'[1]01-数据'!$C$1:$ND$1))," ")</f>
        <v>0.1049</v>
      </c>
      <c r="G25" s="11">
        <f>IF(A25&lt;&gt;"",INDEX('[1]01-数据'!$C$11:$ND$11,MATCH(A25,'[1]01-数据'!$C$1:$ND$1))," ")</f>
        <v>10.53</v>
      </c>
      <c r="H25" s="11">
        <f>IF(A25&lt;&gt;"",INDEX('[1]01-数据'!$C$14:$ND$14,MATCH(A25,'[1]01-数据'!$C$1:$ND$1))," ")</f>
        <v>8.35</v>
      </c>
    </row>
    <row r="26" spans="1:8">
      <c r="A26" s="27">
        <v>45374</v>
      </c>
      <c r="B26" s="8">
        <f>IF(A26&lt;&gt;"",INDEX('[1]01-数据'!$C$2:$ND$2,MATCH(A26,'[1]01-数据'!$C$1:$ND$1))," ")</f>
        <v>239.26</v>
      </c>
      <c r="C26" s="8">
        <f>IF(A26&lt;&gt;"",INDEX('[1]01-数据'!$C$3:$ND$3,MATCH(A26,'[1]01-数据'!$C$1:$ND$1))," ")</f>
        <v>5729.06</v>
      </c>
      <c r="D26" s="14">
        <f>IF(A26&lt;&gt;"",INDEX('[1]01-数据'!$C$4:$ND$4,MATCH(A26,'[1]01-数据'!$C$1:$ND$1))," ")</f>
        <v>0.0714</v>
      </c>
      <c r="E26" s="8">
        <f>IF(A26&lt;&gt;"",INDEX('[1]01-数据'!$C$6:$ND$6,MATCH(A26,'[1]01-数据'!$C$1:$ND$1))," ")</f>
        <v>20661.86</v>
      </c>
      <c r="F26" s="14">
        <f>IF(A26&lt;&gt;"",INDEX('[1]01-数据'!$C$7:$ND$7,MATCH(A26,'[1]01-数据'!$C$1:$ND$1))," ")</f>
        <v>0.1037</v>
      </c>
      <c r="G26" s="8">
        <f>IF(A26&lt;&gt;"",INDEX('[1]01-数据'!$C$11:$ND$11,MATCH(A26,'[1]01-数据'!$C$1:$ND$1))," ")</f>
        <v>10.44</v>
      </c>
      <c r="H26" s="8">
        <f>IF(A26&lt;&gt;"",INDEX('[1]01-数据'!$C$14:$ND$14,MATCH(A26,'[1]01-数据'!$C$1:$ND$1))," ")</f>
        <v>8.35</v>
      </c>
    </row>
    <row r="27" spans="1:8">
      <c r="A27" s="27">
        <v>45375</v>
      </c>
      <c r="B27" s="8">
        <f>IF(A27&lt;&gt;"",INDEX('[1]01-数据'!$C$2:$ND$2,MATCH(A27,'[1]01-数据'!$C$1:$ND$1))," ")</f>
        <v>235.24</v>
      </c>
      <c r="C27" s="8">
        <f>IF(A27&lt;&gt;"",INDEX('[1]01-数据'!$C$3:$ND$3,MATCH(A27,'[1]01-数据'!$C$1:$ND$1))," ")</f>
        <v>5964.3</v>
      </c>
      <c r="D27" s="14">
        <f>IF(A27&lt;&gt;"",INDEX('[1]01-数据'!$C$4:$ND$4,MATCH(A27,'[1]01-数据'!$C$1:$ND$1))," ")</f>
        <v>0.068</v>
      </c>
      <c r="E27" s="8">
        <f>IF(A27&lt;&gt;"",INDEX('[1]01-数据'!$C$6:$ND$6,MATCH(A27,'[1]01-数据'!$C$1:$ND$1))," ")</f>
        <v>20897.1</v>
      </c>
      <c r="F27" s="14">
        <f>IF(A27&lt;&gt;"",INDEX('[1]01-数据'!$C$7:$ND$7,MATCH(A27,'[1]01-数据'!$C$1:$ND$1))," ")</f>
        <v>0.1023</v>
      </c>
      <c r="G27" s="8">
        <f>IF(A27&lt;&gt;"",INDEX('[1]01-数据'!$C$11:$ND$11,MATCH(A27,'[1]01-数据'!$C$1:$ND$1))," ")</f>
        <v>10.17</v>
      </c>
      <c r="H27" s="8">
        <f>IF(A27&lt;&gt;"",INDEX('[1]01-数据'!$C$14:$ND$14,MATCH(A27,'[1]01-数据'!$C$1:$ND$1))," ")</f>
        <v>8.29</v>
      </c>
    </row>
    <row r="28" spans="1:8">
      <c r="A28" s="28">
        <v>45376</v>
      </c>
      <c r="B28" s="11">
        <f>IF(A28&lt;&gt;"",INDEX('[1]01-数据'!$C$2:$ND$2,MATCH(A28,'[1]01-数据'!$C$1:$ND$1))," ")</f>
        <v>241.73</v>
      </c>
      <c r="C28" s="11">
        <f>IF(A28&lt;&gt;"",INDEX('[1]01-数据'!$C$3:$ND$3,MATCH(A28,'[1]01-数据'!$C$1:$ND$1))," ")</f>
        <v>6206.02</v>
      </c>
      <c r="D28" s="15">
        <f>IF(A28&lt;&gt;"",INDEX('[1]01-数据'!$C$4:$ND$4,MATCH(A28,'[1]01-数据'!$C$1:$ND$1))," ")</f>
        <v>0.0667</v>
      </c>
      <c r="E28" s="11">
        <f>IF(A28&lt;&gt;"",INDEX('[1]01-数据'!$C$6:$ND$6,MATCH(A28,'[1]01-数据'!$C$1:$ND$1))," ")</f>
        <v>21138.83</v>
      </c>
      <c r="F28" s="15">
        <f>IF(A28&lt;&gt;"",INDEX('[1]01-数据'!$C$7:$ND$7,MATCH(A28,'[1]01-数据'!$C$1:$ND$1))," ")</f>
        <v>0.1015</v>
      </c>
      <c r="G28" s="11">
        <f>IF(A28&lt;&gt;"",INDEX('[1]01-数据'!$C$11:$ND$11,MATCH(A28,'[1]01-数据'!$C$1:$ND$1))," ")</f>
        <v>10.68</v>
      </c>
      <c r="H28" s="11">
        <f>IF(A28&lt;&gt;"",INDEX('[1]01-数据'!$C$14:$ND$14,MATCH(A28,'[1]01-数据'!$C$1:$ND$1))," ")</f>
        <v>8.22</v>
      </c>
    </row>
    <row r="29" spans="1:8">
      <c r="A29" s="28">
        <v>45377</v>
      </c>
      <c r="B29" s="11">
        <f>IF(A29&lt;&gt;"",INDEX('[1]01-数据'!$C$2:$ND$2,MATCH(A29,'[1]01-数据'!$C$1:$ND$1))," ")</f>
        <v>242.41</v>
      </c>
      <c r="C29" s="11">
        <f>IF(A29&lt;&gt;"",INDEX('[1]01-数据'!$C$3:$ND$3,MATCH(A29,'[1]01-数据'!$C$1:$ND$1))," ")</f>
        <v>6448.43</v>
      </c>
      <c r="D29" s="15">
        <f>IF(A29&lt;&gt;"",INDEX('[1]01-数据'!$C$4:$ND$4,MATCH(A29,'[1]01-数据'!$C$1:$ND$1))," ")</f>
        <v>0.0671</v>
      </c>
      <c r="E29" s="11">
        <f>IF(A29&lt;&gt;"",INDEX('[1]01-数据'!$C$6:$ND$6,MATCH(A29,'[1]01-数据'!$C$1:$ND$1))," ")</f>
        <v>21381.23</v>
      </c>
      <c r="F29" s="15">
        <f>IF(A29&lt;&gt;"",INDEX('[1]01-数据'!$C$7:$ND$7,MATCH(A29,'[1]01-数据'!$C$1:$ND$1))," ")</f>
        <v>0.1012</v>
      </c>
      <c r="G29" s="11">
        <f>IF(A29&lt;&gt;"",INDEX('[1]01-数据'!$C$11:$ND$11,MATCH(A29,'[1]01-数据'!$C$1:$ND$1))," ")</f>
        <v>10.57</v>
      </c>
      <c r="H29" s="11">
        <f>IF(A29&lt;&gt;"",INDEX('[1]01-数据'!$C$14:$ND$14,MATCH(A29,'[1]01-数据'!$C$1:$ND$1))," ")</f>
        <v>8.44</v>
      </c>
    </row>
    <row r="30" spans="1:8">
      <c r="A30" s="28">
        <v>45378</v>
      </c>
      <c r="B30" s="11">
        <f>IF(A30&lt;&gt;"",INDEX('[1]01-数据'!$C$2:$ND$2,MATCH(A30,'[1]01-数据'!$C$1:$ND$1))," ")</f>
        <v>244.27</v>
      </c>
      <c r="C30" s="11">
        <f>IF(A30&lt;&gt;"",INDEX('[1]01-数据'!$C$3:$ND$3,MATCH(A30,'[1]01-数据'!$C$1:$ND$1))," ")</f>
        <v>6692.7</v>
      </c>
      <c r="D30" s="15">
        <f>IF(A30&lt;&gt;"",INDEX('[1]01-数据'!$C$4:$ND$4,MATCH(A30,'[1]01-数据'!$C$1:$ND$1))," ")</f>
        <v>0.067</v>
      </c>
      <c r="E30" s="11">
        <f>IF(A30&lt;&gt;"",INDEX('[1]01-数据'!$C$6:$ND$6,MATCH(A30,'[1]01-数据'!$C$1:$ND$1))," ")</f>
        <v>21625.5</v>
      </c>
      <c r="F30" s="15">
        <f>IF(A30&lt;&gt;"",INDEX('[1]01-数据'!$C$7:$ND$7,MATCH(A30,'[1]01-数据'!$C$1:$ND$1))," ")</f>
        <v>0.1008</v>
      </c>
      <c r="G30" s="11">
        <f>IF(A30&lt;&gt;"",INDEX('[1]01-数据'!$C$11:$ND$11,MATCH(A30,'[1]01-数据'!$C$1:$ND$1))," ")</f>
        <v>10.67</v>
      </c>
      <c r="H30" s="11">
        <f>IF(A30&lt;&gt;"",INDEX('[1]01-数据'!$C$14:$ND$14,MATCH(A30,'[1]01-数据'!$C$1:$ND$1))," ")</f>
        <v>8.41</v>
      </c>
    </row>
    <row r="31" spans="1:8">
      <c r="A31" s="28">
        <v>45379</v>
      </c>
      <c r="B31" s="11">
        <f>IF(A31&lt;&gt;"",INDEX('[1]01-数据'!$C$2:$ND$2,MATCH(A31,'[1]01-数据'!$C$1:$ND$1))," ")</f>
        <v>242.36</v>
      </c>
      <c r="C31" s="11">
        <f>IF(A31&lt;&gt;"",INDEX('[1]01-数据'!$C$3:$ND$3,MATCH(A31,'[1]01-数据'!$C$1:$ND$1))," ")</f>
        <v>6935.05</v>
      </c>
      <c r="D31" s="15">
        <f>IF(A31&lt;&gt;"",INDEX('[1]01-数据'!$C$4:$ND$4,MATCH(A31,'[1]01-数据'!$C$1:$ND$1))," ")</f>
        <v>0.0665</v>
      </c>
      <c r="E31" s="11">
        <f>IF(A31&lt;&gt;"",INDEX('[1]01-数据'!$C$6:$ND$6,MATCH(A31,'[1]01-数据'!$C$1:$ND$1))," ")</f>
        <v>21867.86</v>
      </c>
      <c r="F31" s="15">
        <f>IF(A31&lt;&gt;"",INDEX('[1]01-数据'!$C$7:$ND$7,MATCH(A31,'[1]01-数据'!$C$1:$ND$1))," ")</f>
        <v>0.1002</v>
      </c>
      <c r="G31" s="11">
        <f>IF(A31&lt;&gt;"",INDEX('[1]01-数据'!$C$11:$ND$11,MATCH(A31,'[1]01-数据'!$C$1:$ND$1))," ")</f>
        <v>10.59</v>
      </c>
      <c r="H31" s="11">
        <f>IF(A31&lt;&gt;"",INDEX('[1]01-数据'!$C$14:$ND$14,MATCH(A31,'[1]01-数据'!$C$1:$ND$1))," ")</f>
        <v>8.4</v>
      </c>
    </row>
    <row r="32" spans="1:8">
      <c r="A32" s="28">
        <v>45380</v>
      </c>
      <c r="B32" s="11">
        <f>IF(A32&lt;&gt;"",INDEX('[1]01-数据'!$C$2:$ND$2,MATCH(A32,'[1]01-数据'!$C$1:$ND$1))," ")</f>
        <v>241.65</v>
      </c>
      <c r="C32" s="11">
        <f>IF(A32&lt;&gt;"",INDEX('[1]01-数据'!$C$3:$ND$3,MATCH(A32,'[1]01-数据'!$C$1:$ND$1))," ")</f>
        <v>7276.71</v>
      </c>
      <c r="D32" s="15">
        <f>IF(A32&lt;&gt;"",INDEX('[1]01-数据'!$C$4:$ND$4,MATCH(A32,'[1]01-数据'!$C$1:$ND$1))," ")</f>
        <v>0.0661</v>
      </c>
      <c r="E32" s="11">
        <f>IF(A32&lt;&gt;"",INDEX('[1]01-数据'!$C$6:$ND$6,MATCH(A32,'[1]01-数据'!$C$1:$ND$1))," ")</f>
        <v>22109.51</v>
      </c>
      <c r="F32" s="15">
        <f>IF(A32&lt;&gt;"",INDEX('[1]01-数据'!$C$7:$ND$7,MATCH(A32,'[1]01-数据'!$C$1:$ND$1))," ")</f>
        <v>0.0997</v>
      </c>
      <c r="G32" s="11">
        <f>IF(A32&lt;&gt;"",INDEX('[1]01-数据'!$C$11:$ND$11,MATCH(A32,'[1]01-数据'!$C$1:$ND$1))," ")</f>
        <v>10.45</v>
      </c>
      <c r="H32" s="11">
        <f>IF(A32&lt;&gt;"",INDEX('[1]01-数据'!$C$14:$ND$14,MATCH(A32,'[1]01-数据'!$C$1:$ND$1))," ")</f>
        <v>8.39</v>
      </c>
    </row>
    <row r="33" spans="1:8">
      <c r="A33" s="27">
        <v>45381</v>
      </c>
      <c r="B33" s="8">
        <f>IF(A33&lt;&gt;"",INDEX('[1]01-数据'!$C$2:$ND$2,MATCH(A33,'[1]01-数据'!$C$1:$ND$1))," ")</f>
        <v>238.6</v>
      </c>
      <c r="C33" s="8">
        <f>IF(A33&lt;&gt;"",INDEX('[1]01-数据'!$C$3:$ND$3,MATCH(A33,'[1]01-数据'!$C$1:$ND$1))," ")</f>
        <v>7415.31</v>
      </c>
      <c r="D33" s="14">
        <f>IF(A33&lt;&gt;"",INDEX('[1]01-数据'!$C$4:$ND$4,MATCH(A33,'[1]01-数据'!$C$1:$ND$1))," ")</f>
        <v>0.0655</v>
      </c>
      <c r="E33" s="8">
        <f>IF(A33&lt;&gt;"",INDEX('[1]01-数据'!$C$6:$ND$6,MATCH(A33,'[1]01-数据'!$C$1:$ND$1))," ")</f>
        <v>22348.11</v>
      </c>
      <c r="F33" s="14">
        <f>IF(A33&lt;&gt;"",INDEX('[1]01-数据'!$C$7:$ND$7,MATCH(A33,'[1]01-数据'!$C$1:$ND$1))," ")</f>
        <v>0.0991</v>
      </c>
      <c r="G33" s="8">
        <f>IF(A33&lt;&gt;"",INDEX('[1]01-数据'!$C$11:$ND$11,MATCH(A33,'[1]01-数据'!$C$1:$ND$1))," ")</f>
        <v>10.3</v>
      </c>
      <c r="H33" s="8">
        <f>IF(A33&lt;&gt;"",INDEX('[1]01-数据'!$C$14:$ND$14,MATCH(A33,'[1]01-数据'!$C$1:$ND$1))," ")</f>
        <v>8.36</v>
      </c>
    </row>
    <row r="34" spans="1:8">
      <c r="A34" s="27">
        <v>45382</v>
      </c>
      <c r="B34" s="31">
        <f>IF(A34&lt;&gt;"",INDEX('[1]01-数据'!$C$2:$ND$2,MATCH(A34,'[1]01-数据'!$C$1:$ND$1))," ")</f>
        <v>233.34</v>
      </c>
      <c r="C34" s="31">
        <f>IF(A34&lt;&gt;"",INDEX('[1]01-数据'!$C$3:$ND$3,MATCH(A34,'[1]01-数据'!$C$1:$ND$1))," ")</f>
        <v>7648.64</v>
      </c>
      <c r="D34" s="32">
        <f>IF(A34&lt;&gt;"",INDEX('[1]01-数据'!$C$4:$ND$4,MATCH(A34,'[1]01-数据'!$C$1:$ND$1))," ")</f>
        <v>0.0645</v>
      </c>
      <c r="E34" s="31">
        <f>IF(A34&lt;&gt;"",INDEX('[1]01-数据'!$C$6:$ND$6,MATCH(A34,'[1]01-数据'!$C$1:$ND$1))," ")</f>
        <v>22581.45</v>
      </c>
      <c r="F34" s="32">
        <f>IF(A34&lt;&gt;"",INDEX('[1]01-数据'!$C$7:$ND$7,MATCH(A34,'[1]01-数据'!$C$1:$ND$1))," ")</f>
        <v>0.0984</v>
      </c>
      <c r="G34" s="31">
        <f>IF(A34&lt;&gt;"",INDEX('[1]01-数据'!$C$11:$ND$11,MATCH(A34,'[1]01-数据'!$C$1:$ND$1))," ")</f>
        <v>10.04</v>
      </c>
      <c r="H34" s="31">
        <f>IF(A34&lt;&gt;"",INDEX('[1]01-数据'!$C$14:$ND$14,MATCH(A34,'[1]01-数据'!$C$1:$ND$1))," ")</f>
        <v>8.23</v>
      </c>
    </row>
    <row r="35" spans="1:8">
      <c r="A35" s="13" t="s">
        <v>11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4"/>
  <sheetViews>
    <sheetView zoomScale="145" zoomScaleNormal="145" topLeftCell="A9" workbookViewId="0">
      <selection activeCell="E33" sqref="C33 E33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17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30" t="s">
        <v>5</v>
      </c>
      <c r="G3" s="5" t="s">
        <v>7</v>
      </c>
      <c r="H3" s="5" t="s">
        <v>8</v>
      </c>
    </row>
    <row r="4" spans="1:8">
      <c r="A4" s="28">
        <v>45383</v>
      </c>
      <c r="B4" s="11">
        <f>IF(A4&lt;&gt;"",INDEX('[1]01-数据'!$C$2:$ND$2,MATCH(A4,'[1]01-数据'!$C$1:$ND$1))," ")</f>
        <v>237.25</v>
      </c>
      <c r="C4" s="11">
        <f>IF(A4&lt;&gt;"",INDEX('[1]01-数据'!$C$3:$ND$3,MATCH(A4,'[1]01-数据'!$C$1:$ND$1))," ")</f>
        <v>237.25</v>
      </c>
      <c r="D4" s="15">
        <f>IF(A4&lt;&gt;"",INDEX('[1]01-数据'!$C$4:$ND$4,MATCH(A4,'[1]01-数据'!$C$1:$ND$1))," ")</f>
        <v>0.0762</v>
      </c>
      <c r="E4" s="11">
        <f>IF(A4&lt;&gt;"",INDEX('[1]01-数据'!$C$6:$ND$6,MATCH(A4,'[1]01-数据'!$C$1:$ND$1))," ")</f>
        <v>22818.7</v>
      </c>
      <c r="F4" s="15">
        <f>IF(A4&lt;&gt;"",INDEX('[1]01-数据'!$C$7:$ND$7,MATCH(A4,'[1]01-数据'!$C$1:$ND$1))," ")</f>
        <v>0.0982</v>
      </c>
      <c r="G4" s="11">
        <f>IF(A4&lt;&gt;"",INDEX('[1]01-数据'!$C$11:$ND$11,MATCH(A4,'[1]01-数据'!$C$1:$ND$1))," ")</f>
        <v>10.44</v>
      </c>
      <c r="H4" s="11">
        <f>IF(A4&lt;&gt;"",INDEX('[1]01-数据'!$C$14:$ND$14,MATCH(A4,'[1]01-数据'!$C$1:$ND$1))," ")</f>
        <v>8.11</v>
      </c>
    </row>
    <row r="5" spans="1:8">
      <c r="A5" s="28">
        <v>45384</v>
      </c>
      <c r="B5" s="11">
        <f>IF(A5&lt;&gt;"",INDEX('[1]01-数据'!$C$2:$ND$2,MATCH(A5,'[1]01-数据'!$C$1:$ND$1))," ")</f>
        <v>239.44</v>
      </c>
      <c r="C5" s="11">
        <f>IF(A5&lt;&gt;"",INDEX('[1]01-数据'!$C$3:$ND$3,MATCH(A5,'[1]01-数据'!$C$1:$ND$1))," ")</f>
        <v>476.69</v>
      </c>
      <c r="D5" s="15">
        <f>IF(A5&lt;&gt;"",INDEX('[1]01-数据'!$C$4:$ND$4,MATCH(A5,'[1]01-数据'!$C$1:$ND$1))," ")</f>
        <v>0.0888</v>
      </c>
      <c r="E5" s="11">
        <f>IF(A5&lt;&gt;"",INDEX('[1]01-数据'!$C$6:$ND$6,MATCH(A5,'[1]01-数据'!$C$1:$ND$1))," ")</f>
        <v>23058.14</v>
      </c>
      <c r="F5" s="15">
        <f>IF(A5&lt;&gt;"",INDEX('[1]01-数据'!$C$7:$ND$7,MATCH(A5,'[1]01-数据'!$C$1:$ND$1))," ")</f>
        <v>0.0982</v>
      </c>
      <c r="G5" s="11">
        <f>IF(A5&lt;&gt;"",INDEX('[1]01-数据'!$C$11:$ND$11,MATCH(A5,'[1]01-数据'!$C$1:$ND$1))," ")</f>
        <v>10.54</v>
      </c>
      <c r="H5" s="11">
        <f>IF(A5&lt;&gt;"",INDEX('[1]01-数据'!$C$14:$ND$14,MATCH(A5,'[1]01-数据'!$C$1:$ND$1))," ")</f>
        <v>8.33</v>
      </c>
    </row>
    <row r="6" spans="1:8">
      <c r="A6" s="28">
        <v>45385</v>
      </c>
      <c r="B6" s="11">
        <f>IF(A6&lt;&gt;"",INDEX('[1]01-数据'!$C$2:$ND$2,MATCH(A6,'[1]01-数据'!$C$1:$ND$1))," ")</f>
        <v>239.43</v>
      </c>
      <c r="C6" s="11">
        <f>IF(A6&lt;&gt;"",INDEX('[1]01-数据'!$C$3:$ND$3,MATCH(A6,'[1]01-数据'!$C$1:$ND$1))," ")</f>
        <v>716.12</v>
      </c>
      <c r="D6" s="15">
        <f>IF(A6&lt;&gt;"",INDEX('[1]01-数据'!$C$4:$ND$4,MATCH(A6,'[1]01-数据'!$C$1:$ND$1))," ")</f>
        <v>0.086</v>
      </c>
      <c r="E6" s="11">
        <f>IF(A6&lt;&gt;"",INDEX('[1]01-数据'!$C$6:$ND$6,MATCH(A6,'[1]01-数据'!$C$1:$ND$1))," ")</f>
        <v>23297.57</v>
      </c>
      <c r="F6" s="15">
        <f>IF(A6&lt;&gt;"",INDEX('[1]01-数据'!$C$7:$ND$7,MATCH(A6,'[1]01-数据'!$C$1:$ND$1))," ")</f>
        <v>0.098</v>
      </c>
      <c r="G6" s="11">
        <f>IF(A6&lt;&gt;"",INDEX('[1]01-数据'!$C$11:$ND$11,MATCH(A6,'[1]01-数据'!$C$1:$ND$1))," ")</f>
        <v>10.5</v>
      </c>
      <c r="H6" s="11">
        <f>IF(A6&lt;&gt;"",INDEX('[1]01-数据'!$C$14:$ND$14,MATCH(A6,'[1]01-数据'!$C$1:$ND$1))," ")</f>
        <v>8.36</v>
      </c>
    </row>
    <row r="7" spans="1:8">
      <c r="A7" s="28">
        <v>45386</v>
      </c>
      <c r="B7" s="11">
        <f>IF(A7&lt;&gt;"",INDEX('[1]01-数据'!$C$2:$ND$2,MATCH(A7,'[1]01-数据'!$C$1:$ND$1))," ")</f>
        <v>217.55</v>
      </c>
      <c r="C7" s="11">
        <f>IF(A7&lt;&gt;"",INDEX('[1]01-数据'!$C$3:$ND$3,MATCH(A7,'[1]01-数据'!$C$1:$ND$1))," ")</f>
        <v>933.67</v>
      </c>
      <c r="D7" s="15">
        <f>IF(A7&lt;&gt;"",INDEX('[1]01-数据'!$C$4:$ND$4,MATCH(A7,'[1]01-数据'!$C$1:$ND$1))," ")</f>
        <v>0.0601</v>
      </c>
      <c r="E7" s="11">
        <f>IF(A7&lt;&gt;"",INDEX('[1]01-数据'!$C$6:$ND$6,MATCH(A7,'[1]01-数据'!$C$1:$ND$1))," ")</f>
        <v>23515.11</v>
      </c>
      <c r="F7" s="15">
        <f>IF(A7&lt;&gt;"",INDEX('[1]01-数据'!$C$7:$ND$7,MATCH(A7,'[1]01-数据'!$C$1:$ND$1))," ")</f>
        <v>0.0969</v>
      </c>
      <c r="G7" s="11">
        <f>IF(A7&lt;&gt;"",INDEX('[1]01-数据'!$C$11:$ND$11,MATCH(A7,'[1]01-数据'!$C$1:$ND$1))," ")</f>
        <v>9.3</v>
      </c>
      <c r="H7" s="11">
        <f>IF(A7&lt;&gt;"",INDEX('[1]01-数据'!$C$14:$ND$14,MATCH(A7,'[1]01-数据'!$C$1:$ND$1))," ")</f>
        <v>8.07</v>
      </c>
    </row>
    <row r="8" spans="1:8">
      <c r="A8" s="28">
        <v>45387</v>
      </c>
      <c r="B8" s="11">
        <f>IF(A8&lt;&gt;"",INDEX('[1]01-数据'!$C$2:$ND$2,MATCH(A8,'[1]01-数据'!$C$1:$ND$1))," ")</f>
        <v>222.68</v>
      </c>
      <c r="C8" s="11">
        <f>IF(A8&lt;&gt;"",INDEX('[1]01-数据'!$C$3:$ND$3,MATCH(A8,'[1]01-数据'!$C$1:$ND$1))," ")</f>
        <v>1156.34</v>
      </c>
      <c r="D8" s="12">
        <f>IF(A8&lt;&gt;"",INDEX('[1]01-数据'!$C$4:$ND$4,MATCH(A8,'[1]01-数据'!$C$1:$ND$1))," ")</f>
        <v>0.0628</v>
      </c>
      <c r="E8" s="11">
        <f>IF(A8&lt;&gt;"",INDEX('[1]01-数据'!$C$6:$ND$6,MATCH(A8,'[1]01-数据'!$C$1:$ND$1))," ")</f>
        <v>23737.79</v>
      </c>
      <c r="F8" s="15">
        <f>IF(A8&lt;&gt;"",INDEX('[1]01-数据'!$C$7:$ND$7,MATCH(A8,'[1]01-数据'!$C$1:$ND$1))," ")</f>
        <v>0.0966</v>
      </c>
      <c r="G8" s="11">
        <f>IF(A8&lt;&gt;"",INDEX('[1]01-数据'!$C$11:$ND$11,MATCH(A8,'[1]01-数据'!$C$1:$ND$1))," ")</f>
        <v>9.76</v>
      </c>
      <c r="H8" s="11">
        <f>IF(A8&lt;&gt;"",INDEX('[1]01-数据'!$C$14:$ND$14,MATCH(A8,'[1]01-数据'!$C$1:$ND$1))," ")</f>
        <v>7.64</v>
      </c>
    </row>
    <row r="9" spans="1:8">
      <c r="A9" s="27">
        <v>45388</v>
      </c>
      <c r="B9" s="8">
        <f>IF(A9&lt;&gt;"",INDEX('[1]01-数据'!$C$2:$ND$2,MATCH(A9,'[1]01-数据'!$C$1:$ND$1))," ")</f>
        <v>231.56</v>
      </c>
      <c r="C9" s="8">
        <f>IF(A9&lt;&gt;"",INDEX('[1]01-数据'!$C$3:$ND$3,MATCH(A9,'[1]01-数据'!$C$1:$ND$1))," ")</f>
        <v>1387.9</v>
      </c>
      <c r="D9" s="9">
        <f>IF(A9&lt;&gt;"",INDEX('[1]01-数据'!$C$4:$ND$4,MATCH(A9,'[1]01-数据'!$C$1:$ND$1))," ")</f>
        <v>0.0608</v>
      </c>
      <c r="E9" s="8">
        <f>IF(A9&lt;&gt;"",INDEX('[1]01-数据'!$C$6:$ND$6,MATCH(A9,'[1]01-数据'!$C$1:$ND$1))," ")</f>
        <v>23969.35</v>
      </c>
      <c r="F9" s="14">
        <f>IF(A9&lt;&gt;"",INDEX('[1]01-数据'!$C$7:$ND$7,MATCH(A9,'[1]01-数据'!$C$1:$ND$1))," ")</f>
        <v>0.0962</v>
      </c>
      <c r="G9" s="8">
        <f>IF(A9&lt;&gt;"",INDEX('[1]01-数据'!$C$11:$ND$11,MATCH(A9,'[1]01-数据'!$C$1:$ND$1))," ")</f>
        <v>10.11</v>
      </c>
      <c r="H9" s="8">
        <f>IF(A9&lt;&gt;"",INDEX('[1]01-数据'!$C$14:$ND$14,MATCH(A9,'[1]01-数据'!$C$1:$ND$1))," ")</f>
        <v>7.97</v>
      </c>
    </row>
    <row r="10" spans="1:8">
      <c r="A10" s="27">
        <v>45389</v>
      </c>
      <c r="B10" s="8">
        <f>IF(A10&lt;&gt;"",INDEX('[1]01-数据'!$C$2:$ND$2,MATCH(A10,'[1]01-数据'!$C$1:$ND$1))," ")</f>
        <v>236.03</v>
      </c>
      <c r="C10" s="8">
        <f>IF(A10&lt;&gt;"",INDEX('[1]01-数据'!$C$3:$ND$3,MATCH(A10,'[1]01-数据'!$C$1:$ND$1))," ")</f>
        <v>1623.93</v>
      </c>
      <c r="D10" s="9">
        <f>IF(A10&lt;&gt;"",INDEX('[1]01-数据'!$C$4:$ND$4,MATCH(A10,'[1]01-数据'!$C$1:$ND$1))," ")</f>
        <v>0.0596</v>
      </c>
      <c r="E10" s="8">
        <f>IF(A10&lt;&gt;"",INDEX('[1]01-数据'!$C$6:$ND$6,MATCH(A10,'[1]01-数据'!$C$1:$ND$1))," ")</f>
        <v>24205.38</v>
      </c>
      <c r="F10" s="14">
        <f>IF(A10&lt;&gt;"",INDEX('[1]01-数据'!$C$7:$ND$7,MATCH(A10,'[1]01-数据'!$C$1:$ND$1))," ")</f>
        <v>0.0957</v>
      </c>
      <c r="G10" s="8">
        <f>IF(A10&lt;&gt;"",INDEX('[1]01-数据'!$C$11:$ND$11,MATCH(A10,'[1]01-数据'!$C$1:$ND$1))," ")</f>
        <v>10.41</v>
      </c>
      <c r="H10" s="8">
        <f>IF(A10&lt;&gt;"",INDEX('[1]01-数据'!$C$14:$ND$14,MATCH(A10,'[1]01-数据'!$C$1:$ND$1))," ")</f>
        <v>8.12</v>
      </c>
    </row>
    <row r="11" spans="1:8">
      <c r="A11" s="28">
        <v>45390</v>
      </c>
      <c r="B11" s="11">
        <f>IF(A11&lt;&gt;"",INDEX('[1]01-数据'!$C$2:$ND$2,MATCH(A11,'[1]01-数据'!$C$1:$ND$1))," ")</f>
        <v>237.66</v>
      </c>
      <c r="C11" s="11">
        <f>IF(A11&lt;&gt;"",INDEX('[1]01-数据'!$C$3:$ND$3,MATCH(A11,'[1]01-数据'!$C$1:$ND$1))," ")</f>
        <v>1861.59</v>
      </c>
      <c r="D11" s="12">
        <f>IF(A11&lt;&gt;"",INDEX('[1]01-数据'!$C$4:$ND$4,MATCH(A11,'[1]01-数据'!$C$1:$ND$1))," ")</f>
        <v>0.0614</v>
      </c>
      <c r="E11" s="11">
        <f>IF(A11&lt;&gt;"",INDEX('[1]01-数据'!$C$6:$ND$6,MATCH(A11,'[1]01-数据'!$C$1:$ND$1))," ")</f>
        <v>24443.04</v>
      </c>
      <c r="F11" s="15">
        <f>IF(A11&lt;&gt;"",INDEX('[1]01-数据'!$C$7:$ND$7,MATCH(A11,'[1]01-数据'!$C$1:$ND$1))," ")</f>
        <v>0.0955</v>
      </c>
      <c r="G11" s="11">
        <f>IF(A11&lt;&gt;"",INDEX('[1]01-数据'!$C$11:$ND$11,MATCH(A11,'[1]01-数据'!$C$1:$ND$1))," ")</f>
        <v>10.46</v>
      </c>
      <c r="H11" s="11">
        <f>IF(A11&lt;&gt;"",INDEX('[1]01-数据'!$C$14:$ND$14,MATCH(A11,'[1]01-数据'!$C$1:$ND$1))," ")</f>
        <v>8.19</v>
      </c>
    </row>
    <row r="12" spans="1:8">
      <c r="A12" s="28">
        <v>45391</v>
      </c>
      <c r="B12" s="11">
        <f>IF(A12&lt;&gt;"",INDEX('[1]01-数据'!$C$2:$ND$2,MATCH(A12,'[1]01-数据'!$C$1:$ND$1))," ")</f>
        <v>236.99</v>
      </c>
      <c r="C12" s="11">
        <f>IF(A12&lt;&gt;"",INDEX('[1]01-数据'!$C$3:$ND$3,MATCH(A12,'[1]01-数据'!$C$1:$ND$1))," ")</f>
        <v>2098.58</v>
      </c>
      <c r="D12" s="12">
        <f>IF(A12&lt;&gt;"",INDEX('[1]01-数据'!$C$4:$ND$4,MATCH(A12,'[1]01-数据'!$C$1:$ND$1))," ")</f>
        <v>0.0648</v>
      </c>
      <c r="E12" s="11">
        <f>IF(A12&lt;&gt;"",INDEX('[1]01-数据'!$C$6:$ND$6,MATCH(A12,'[1]01-数据'!$C$1:$ND$1))," ")</f>
        <v>24680.03</v>
      </c>
      <c r="F12" s="15">
        <f>IF(A12&lt;&gt;"",INDEX('[1]01-数据'!$C$7:$ND$7,MATCH(A12,'[1]01-数据'!$C$1:$ND$1))," ")</f>
        <v>0.0955</v>
      </c>
      <c r="G12" s="11">
        <f>IF(A12&lt;&gt;"",INDEX('[1]01-数据'!$C$11:$ND$11,MATCH(A12,'[1]01-数据'!$C$1:$ND$1))," ")</f>
        <v>10.29</v>
      </c>
      <c r="H12" s="11">
        <f>IF(A12&lt;&gt;"",INDEX('[1]01-数据'!$C$14:$ND$14,MATCH(A12,'[1]01-数据'!$C$1:$ND$1))," ")</f>
        <v>8.24</v>
      </c>
    </row>
    <row r="13" spans="1:11">
      <c r="A13" s="28">
        <v>45392</v>
      </c>
      <c r="B13" s="11">
        <f>IF(A13&lt;&gt;"",INDEX('[1]01-数据'!$C$2:$ND$2,MATCH(A13,'[1]01-数据'!$C$1:$ND$1))," ")</f>
        <v>237.15</v>
      </c>
      <c r="C13" s="11">
        <f>IF(A13&lt;&gt;"",INDEX('[1]01-数据'!$C$3:$ND$3,MATCH(A13,'[1]01-数据'!$C$1:$ND$1))," ")</f>
        <v>2335.73</v>
      </c>
      <c r="D13" s="15">
        <f>IF(A13&lt;&gt;"",INDEX('[1]01-数据'!$C$4:$ND$4,MATCH(A13,'[1]01-数据'!$C$1:$ND$1))," ")</f>
        <v>0.0655</v>
      </c>
      <c r="E13" s="11">
        <f>IF(A13&lt;&gt;"",INDEX('[1]01-数据'!$C$6:$ND$6,MATCH(A13,'[1]01-数据'!$C$1:$ND$1))," ")</f>
        <v>24917.18</v>
      </c>
      <c r="F13" s="15">
        <f>IF(A13&lt;&gt;"",INDEX('[1]01-数据'!$C$7:$ND$7,MATCH(A13,'[1]01-数据'!$C$1:$ND$1))," ")</f>
        <v>0.0953</v>
      </c>
      <c r="G13" s="11">
        <f>IF(A13&lt;&gt;"",INDEX('[1]01-数据'!$C$11:$ND$11,MATCH(A13,'[1]01-数据'!$C$1:$ND$1))," ")</f>
        <v>10.33</v>
      </c>
      <c r="H13" s="11">
        <f>IF(A13&lt;&gt;"",INDEX('[1]01-数据'!$C$14:$ND$14,MATCH(A13,'[1]01-数据'!$C$1:$ND$1))," ")</f>
        <v>8.24</v>
      </c>
      <c r="K13" s="17"/>
    </row>
    <row r="14" spans="1:11">
      <c r="A14" s="28">
        <v>45393</v>
      </c>
      <c r="B14" s="11">
        <f>IF(A14&lt;&gt;"",INDEX('[1]01-数据'!$C$2:$ND$2,MATCH(A14,'[1]01-数据'!$C$1:$ND$1))," ")</f>
        <v>238.11</v>
      </c>
      <c r="C14" s="11">
        <f>IF(A14&lt;&gt;"",INDEX('[1]01-数据'!$C$3:$ND$3,MATCH(A14,'[1]01-数据'!$C$1:$ND$1))," ")</f>
        <v>2573.84</v>
      </c>
      <c r="D14" s="15">
        <f>IF(A14&lt;&gt;"",INDEX('[1]01-数据'!$C$4:$ND$4,MATCH(A14,'[1]01-数据'!$C$1:$ND$1))," ")</f>
        <v>0.065</v>
      </c>
      <c r="E14" s="11">
        <f>IF(A14&lt;&gt;"",INDEX('[1]01-数据'!$C$6:$ND$6,MATCH(A14,'[1]01-数据'!$C$1:$ND$1))," ")</f>
        <v>25155.29</v>
      </c>
      <c r="F14" s="15">
        <f>IF(A14&lt;&gt;"",INDEX('[1]01-数据'!$C$7:$ND$7,MATCH(A14,'[1]01-数据'!$C$1:$ND$1))," ")</f>
        <v>0.0949</v>
      </c>
      <c r="G14" s="11">
        <f>IF(A14&lt;&gt;"",INDEX('[1]01-数据'!$C$11:$ND$11,MATCH(A14,'[1]01-数据'!$C$1:$ND$1))," ")</f>
        <v>10.3</v>
      </c>
      <c r="H14" s="11">
        <f>IF(A14&lt;&gt;"",INDEX('[1]01-数据'!$C$14:$ND$14,MATCH(A14,'[1]01-数据'!$C$1:$ND$1))," ")</f>
        <v>8.24</v>
      </c>
      <c r="K14" s="17"/>
    </row>
    <row r="15" spans="1:11">
      <c r="A15" s="28">
        <v>45394</v>
      </c>
      <c r="B15" s="11">
        <f>IF(A15&lt;&gt;"",INDEX('[1]01-数据'!$C$2:$ND$2,MATCH(A15,'[1]01-数据'!$C$1:$ND$1))," ")</f>
        <v>239.47</v>
      </c>
      <c r="C15" s="11">
        <f>IF(A15&lt;&gt;"",INDEX('[1]01-数据'!$C$3:$ND$3,MATCH(A15,'[1]01-数据'!$C$1:$ND$1))," ")</f>
        <v>2813.31</v>
      </c>
      <c r="D15" s="15">
        <f>IF(A15&lt;&gt;"",INDEX('[1]01-数据'!$C$4:$ND$4,MATCH(A15,'[1]01-数据'!$C$1:$ND$1))," ")</f>
        <v>0.0653</v>
      </c>
      <c r="E15" s="11">
        <f>IF(A15&lt;&gt;"",INDEX('[1]01-数据'!$C$6:$ND$6,MATCH(A15,'[1]01-数据'!$C$1:$ND$1))," ")</f>
        <v>25394.76</v>
      </c>
      <c r="F15" s="15">
        <f>IF(A15&lt;&gt;"",INDEX('[1]01-数据'!$C$7:$ND$7,MATCH(A15,'[1]01-数据'!$C$1:$ND$1))," ")</f>
        <v>0.0947</v>
      </c>
      <c r="G15" s="11">
        <f>IF(A15&lt;&gt;"",INDEX('[1]01-数据'!$C$11:$ND$11,MATCH(A15,'[1]01-数据'!$C$1:$ND$1))," ")</f>
        <v>10.45</v>
      </c>
      <c r="H15" s="11">
        <f>IF(A15&lt;&gt;"",INDEX('[1]01-数据'!$C$14:$ND$14,MATCH(A15,'[1]01-数据'!$C$1:$ND$1))," ")</f>
        <v>8.28</v>
      </c>
      <c r="K15" s="17"/>
    </row>
    <row r="16" spans="1:8">
      <c r="A16" s="27">
        <v>45395</v>
      </c>
      <c r="B16" s="8">
        <f>IF(A16&lt;&gt;"",INDEX('[1]01-数据'!$C$2:$ND$2,MATCH(A16,'[1]01-数据'!$C$1:$ND$1))," ")</f>
        <v>238.36</v>
      </c>
      <c r="C16" s="8">
        <f>IF(A16&lt;&gt;"",INDEX('[1]01-数据'!$C$3:$ND$3,MATCH(A16,'[1]01-数据'!$C$1:$ND$1))," ")</f>
        <v>3051.67</v>
      </c>
      <c r="D16" s="14">
        <f>IF(A16&lt;&gt;"",INDEX('[1]01-数据'!$C$4:$ND$4,MATCH(A16,'[1]01-数据'!$C$1:$ND$1))," ")</f>
        <v>0.0649</v>
      </c>
      <c r="E16" s="8">
        <f>IF(A16&lt;&gt;"",INDEX('[1]01-数据'!$C$6:$ND$6,MATCH(A16,'[1]01-数据'!$C$1:$ND$1))," ")</f>
        <v>25633.12</v>
      </c>
      <c r="F16" s="14">
        <f>IF(A16&lt;&gt;"",INDEX('[1]01-数据'!$C$7:$ND$7,MATCH(A16,'[1]01-数据'!$C$1:$ND$1))," ")</f>
        <v>0.0943</v>
      </c>
      <c r="G16" s="8">
        <f>IF(A16&lt;&gt;"",INDEX('[1]01-数据'!$C$11:$ND$11,MATCH(A16,'[1]01-数据'!$C$1:$ND$1))," ")</f>
        <v>10.31</v>
      </c>
      <c r="H16" s="8">
        <f>IF(A16&lt;&gt;"",INDEX('[1]01-数据'!$C$14:$ND$14,MATCH(A16,'[1]01-数据'!$C$1:$ND$1))," ")</f>
        <v>8.31</v>
      </c>
    </row>
    <row r="17" spans="1:8">
      <c r="A17" s="27">
        <v>45396</v>
      </c>
      <c r="B17" s="8">
        <f>IF(A17&lt;&gt;"",INDEX('[1]01-数据'!$C$2:$ND$2,MATCH(A17,'[1]01-数据'!$C$1:$ND$1))," ")</f>
        <v>233.36</v>
      </c>
      <c r="C17" s="8">
        <f>IF(A17&lt;&gt;"",INDEX('[1]01-数据'!$C$3:$ND$3,MATCH(A17,'[1]01-数据'!$C$1:$ND$1))," ")</f>
        <v>3285.03</v>
      </c>
      <c r="D17" s="14">
        <f>IF(A17&lt;&gt;"",INDEX('[1]01-数据'!$C$4:$ND$4,MATCH(A17,'[1]01-数据'!$C$1:$ND$1))," ")</f>
        <v>0.0626</v>
      </c>
      <c r="E17" s="8">
        <f>IF(A17&lt;&gt;"",INDEX('[1]01-数据'!$C$6:$ND$6,MATCH(A17,'[1]01-数据'!$C$1:$ND$1))," ")</f>
        <v>25866.48</v>
      </c>
      <c r="F17" s="14">
        <f>IF(A17&lt;&gt;"",INDEX('[1]01-数据'!$C$7:$ND$7,MATCH(A17,'[1]01-数据'!$C$1:$ND$1))," ")</f>
        <v>0.0937</v>
      </c>
      <c r="G17" s="8">
        <f>IF(A17&lt;&gt;"",INDEX('[1]01-数据'!$C$11:$ND$11,MATCH(A17,'[1]01-数据'!$C$1:$ND$1))," ")</f>
        <v>10.05</v>
      </c>
      <c r="H17" s="8">
        <f>IF(A17&lt;&gt;"",INDEX('[1]01-数据'!$C$14:$ND$14,MATCH(A17,'[1]01-数据'!$C$1:$ND$1))," ")</f>
        <v>8.29</v>
      </c>
    </row>
    <row r="18" spans="1:8">
      <c r="A18" s="28">
        <v>45397</v>
      </c>
      <c r="B18" s="11">
        <f>IF(A18&lt;&gt;"",INDEX('[1]01-数据'!$C$2:$ND$2,MATCH(A18,'[1]01-数据'!$C$1:$ND$1))," ")</f>
        <v>240.51</v>
      </c>
      <c r="C18" s="11">
        <f>IF(A18&lt;&gt;"",INDEX('[1]01-数据'!$C$3:$ND$3,MATCH(A18,'[1]01-数据'!$C$1:$ND$1))," ")</f>
        <v>3525.54</v>
      </c>
      <c r="D18" s="15">
        <f>IF(A18&lt;&gt;"",INDEX('[1]01-数据'!$C$4:$ND$4,MATCH(A18,'[1]01-数据'!$C$1:$ND$1))," ")</f>
        <v>0.064</v>
      </c>
      <c r="E18" s="11">
        <f>IF(A18&lt;&gt;"",INDEX('[1]01-数据'!$C$6:$ND$6,MATCH(A18,'[1]01-数据'!$C$1:$ND$1))," ")</f>
        <v>26106.99</v>
      </c>
      <c r="F18" s="15">
        <f>IF(A18&lt;&gt;"",INDEX('[1]01-数据'!$C$7:$ND$7,MATCH(A18,'[1]01-数据'!$C$1:$ND$1))," ")</f>
        <v>0.0937</v>
      </c>
      <c r="G18" s="11">
        <f>IF(A18&lt;&gt;"",INDEX('[1]01-数据'!$C$11:$ND$11,MATCH(A18,'[1]01-数据'!$C$1:$ND$1))," ")</f>
        <v>10.49</v>
      </c>
      <c r="H18" s="11">
        <f>IF(A18&lt;&gt;"",INDEX('[1]01-数据'!$C$14:$ND$14,MATCH(A18,'[1]01-数据'!$C$1:$ND$1))," ")</f>
        <v>8.18</v>
      </c>
    </row>
    <row r="19" spans="1:8">
      <c r="A19" s="28">
        <v>45398</v>
      </c>
      <c r="B19" s="11">
        <f>IF(A19&lt;&gt;"",INDEX('[1]01-数据'!$C$2:$ND$2,MATCH(A19,'[1]01-数据'!$C$1:$ND$1))," ")</f>
        <v>241.08</v>
      </c>
      <c r="C19" s="11">
        <f>IF(A19&lt;&gt;"",INDEX('[1]01-数据'!$C$3:$ND$3,MATCH(A19,'[1]01-数据'!$C$1:$ND$1))," ")</f>
        <v>3766.62</v>
      </c>
      <c r="D19" s="15">
        <f>IF(A19&lt;&gt;"",INDEX('[1]01-数据'!$C$4:$ND$4,MATCH(A19,'[1]01-数据'!$C$1:$ND$1))," ")</f>
        <v>0.0672</v>
      </c>
      <c r="E19" s="11">
        <f>IF(A19&lt;&gt;"",INDEX('[1]01-数据'!$C$6:$ND$6,MATCH(A19,'[1]01-数据'!$C$1:$ND$1))," ")</f>
        <v>26348.07</v>
      </c>
      <c r="F19" s="15">
        <f>IF(A19&lt;&gt;"",INDEX('[1]01-数据'!$C$7:$ND$7,MATCH(A19,'[1]01-数据'!$C$1:$ND$1))," ")</f>
        <v>0.0939</v>
      </c>
      <c r="G19" s="11">
        <f>IF(A19&lt;&gt;"",INDEX('[1]01-数据'!$C$11:$ND$11,MATCH(A19,'[1]01-数据'!$C$1:$ND$1))," ")</f>
        <v>10.47</v>
      </c>
      <c r="H19" s="11">
        <f>IF(A19&lt;&gt;"",INDEX('[1]01-数据'!$C$14:$ND$14,MATCH(A19,'[1]01-数据'!$C$1:$ND$1))," ")</f>
        <v>8.4</v>
      </c>
    </row>
    <row r="20" spans="1:8">
      <c r="A20" s="28">
        <v>45399</v>
      </c>
      <c r="B20" s="11">
        <f>IF(A20&lt;&gt;"",INDEX('[1]01-数据'!$C$2:$ND$2,MATCH(A20,'[1]01-数据'!$C$1:$ND$1))," ")</f>
        <v>242.23</v>
      </c>
      <c r="C20" s="11">
        <f>IF(A20&lt;&gt;"",INDEX('[1]01-数据'!$C$3:$ND$3,MATCH(A20,'[1]01-数据'!$C$1:$ND$1))," ")</f>
        <v>4008.85</v>
      </c>
      <c r="D20" s="15">
        <f>IF(A20&lt;&gt;"",INDEX('[1]01-数据'!$C$4:$ND$4,MATCH(A20,'[1]01-数据'!$C$1:$ND$1))," ")</f>
        <v>0.0676</v>
      </c>
      <c r="E20" s="11">
        <f>IF(A20&lt;&gt;"",INDEX('[1]01-数据'!$C$6:$ND$6,MATCH(A20,'[1]01-数据'!$C$1:$ND$1))," ")</f>
        <v>26590.3</v>
      </c>
      <c r="F20" s="15">
        <f>IF(A20&lt;&gt;"",INDEX('[1]01-数据'!$C$7:$ND$7,MATCH(A20,'[1]01-数据'!$C$1:$ND$1))," ")</f>
        <v>0.0937</v>
      </c>
      <c r="G20" s="11">
        <f>IF(A20&lt;&gt;"",INDEX('[1]01-数据'!$C$11:$ND$11,MATCH(A20,'[1]01-数据'!$C$1:$ND$1))," ")</f>
        <v>10.62</v>
      </c>
      <c r="H20" s="11">
        <f>IF(A20&lt;&gt;"",INDEX('[1]01-数据'!$C$14:$ND$14,MATCH(A20,'[1]01-数据'!$C$1:$ND$1))," ")</f>
        <v>8.42</v>
      </c>
    </row>
    <row r="21" spans="1:8">
      <c r="A21" s="28">
        <v>45400</v>
      </c>
      <c r="B21" s="11">
        <f>IF(A21&lt;&gt;"",INDEX('[1]01-数据'!$C$2:$ND$2,MATCH(A21,'[1]01-数据'!$C$1:$ND$1))," ")</f>
        <v>241.07</v>
      </c>
      <c r="C21" s="11">
        <f>IF(A21&lt;&gt;"",INDEX('[1]01-数据'!$C$3:$ND$3,MATCH(A21,'[1]01-数据'!$C$1:$ND$1))," ")</f>
        <v>4249.92</v>
      </c>
      <c r="D21" s="15">
        <f>IF(A21&lt;&gt;"",INDEX('[1]01-数据'!$C$4:$ND$4,MATCH(A21,'[1]01-数据'!$C$1:$ND$1))," ")</f>
        <v>0.0667</v>
      </c>
      <c r="E21" s="11">
        <f>IF(A21&lt;&gt;"",INDEX('[1]01-数据'!$C$6:$ND$6,MATCH(A21,'[1]01-数据'!$C$1:$ND$1))," ")</f>
        <v>26831.37</v>
      </c>
      <c r="F21" s="15">
        <f>IF(A21&lt;&gt;"",INDEX('[1]01-数据'!$C$7:$ND$7,MATCH(A21,'[1]01-数据'!$C$1:$ND$1))," ")</f>
        <v>0.0933</v>
      </c>
      <c r="G21" s="11">
        <f>IF(A21&lt;&gt;"",INDEX('[1]01-数据'!$C$11:$ND$11,MATCH(A21,'[1]01-数据'!$C$1:$ND$1))," ")</f>
        <v>10.47</v>
      </c>
      <c r="H21" s="11">
        <f>IF(A21&lt;&gt;"",INDEX('[1]01-数据'!$C$14:$ND$14,MATCH(A21,'[1]01-数据'!$C$1:$ND$1))," ")</f>
        <v>8.43</v>
      </c>
    </row>
    <row r="22" spans="1:8">
      <c r="A22" s="28">
        <v>45401</v>
      </c>
      <c r="B22" s="11">
        <f>IF(A22&lt;&gt;"",INDEX('[1]01-数据'!$C$2:$ND$2,MATCH(A22,'[1]01-数据'!$C$1:$ND$1))," ")</f>
        <v>239.48</v>
      </c>
      <c r="C22" s="11">
        <f>IF(A22&lt;&gt;"",INDEX('[1]01-数据'!$C$3:$ND$3,MATCH(A22,'[1]01-数据'!$C$1:$ND$1))," ")</f>
        <v>4489.4</v>
      </c>
      <c r="D22" s="15">
        <f>IF(A22&lt;&gt;"",INDEX('[1]01-数据'!$C$4:$ND$4,MATCH(A22,'[1]01-数据'!$C$1:$ND$1))," ")</f>
        <v>0.0658</v>
      </c>
      <c r="E22" s="11">
        <f>IF(A22&lt;&gt;"",INDEX('[1]01-数据'!$C$6:$ND$6,MATCH(A22,'[1]01-数据'!$C$1:$ND$1))," ")</f>
        <v>27070.85</v>
      </c>
      <c r="F22" s="15">
        <f>IF(A22&lt;&gt;"",INDEX('[1]01-数据'!$C$7:$ND$7,MATCH(A22,'[1]01-数据'!$C$1:$ND$1))," ")</f>
        <v>0.0929</v>
      </c>
      <c r="G22" s="11">
        <f>IF(A22&lt;&gt;"",INDEX('[1]01-数据'!$C$11:$ND$11,MATCH(A22,'[1]01-数据'!$C$1:$ND$1))," ")</f>
        <v>10.53</v>
      </c>
      <c r="H22" s="11">
        <f>IF(A22&lt;&gt;"",INDEX('[1]01-数据'!$C$14:$ND$14,MATCH(A22,'[1]01-数据'!$C$1:$ND$1))," ")</f>
        <v>8.35</v>
      </c>
    </row>
    <row r="23" spans="1:8">
      <c r="A23" s="27">
        <v>45402</v>
      </c>
      <c r="B23" s="8">
        <f>IF(A23&lt;&gt;"",INDEX('[1]01-数据'!$C$2:$ND$2,MATCH(A23,'[1]01-数据'!$C$1:$ND$1))," ")</f>
        <v>237.31</v>
      </c>
      <c r="C23" s="8">
        <f>IF(A23&lt;&gt;"",INDEX('[1]01-数据'!$C$3:$ND$3,MATCH(A23,'[1]01-数据'!$C$1:$ND$1))," ")</f>
        <v>4726.72</v>
      </c>
      <c r="D23" s="14">
        <f>IF(A23&lt;&gt;"",INDEX('[1]01-数据'!$C$4:$ND$4,MATCH(A23,'[1]01-数据'!$C$1:$ND$1))," ")</f>
        <v>0.0647</v>
      </c>
      <c r="E23" s="8">
        <f>IF(A23&lt;&gt;"",INDEX('[1]01-数据'!$C$6:$ND$6,MATCH(A23,'[1]01-数据'!$C$1:$ND$1))," ")</f>
        <v>27308.16</v>
      </c>
      <c r="F23" s="14">
        <f>IF(A23&lt;&gt;"",INDEX('[1]01-数据'!$C$7:$ND$7,MATCH(A23,'[1]01-数据'!$C$1:$ND$1))," ")</f>
        <v>0.0924</v>
      </c>
      <c r="G23" s="8">
        <f>IF(A23&lt;&gt;"",INDEX('[1]01-数据'!$C$11:$ND$11,MATCH(A23,'[1]01-数据'!$C$1:$ND$1))," ")</f>
        <v>10.35</v>
      </c>
      <c r="H23" s="8">
        <f>IF(A23&lt;&gt;"",INDEX('[1]01-数据'!$C$14:$ND$14,MATCH(A23,'[1]01-数据'!$C$1:$ND$1))," ")</f>
        <v>8.37</v>
      </c>
    </row>
    <row r="24" spans="1:8">
      <c r="A24" s="27">
        <v>45403</v>
      </c>
      <c r="B24" s="8">
        <f>IF(A24&lt;&gt;"",INDEX('[1]01-数据'!$C$2:$ND$2,MATCH(A24,'[1]01-数据'!$C$1:$ND$1))," ")</f>
        <v>230.6</v>
      </c>
      <c r="C24" s="8">
        <f>IF(A24&lt;&gt;"",INDEX('[1]01-数据'!$C$3:$ND$3,MATCH(A24,'[1]01-数据'!$C$1:$ND$1))," ")</f>
        <v>4957.32</v>
      </c>
      <c r="D24" s="14">
        <f>IF(A24&lt;&gt;"",INDEX('[1]01-数据'!$C$4:$ND$4,MATCH(A24,'[1]01-数据'!$C$1:$ND$1))," ")</f>
        <v>0.0624</v>
      </c>
      <c r="E24" s="8">
        <f>IF(A24&lt;&gt;"",INDEX('[1]01-数据'!$C$6:$ND$6,MATCH(A24,'[1]01-数据'!$C$1:$ND$1))," ")</f>
        <v>27538.77</v>
      </c>
      <c r="F24" s="14">
        <f>IF(A24&lt;&gt;"",INDEX('[1]01-数据'!$C$7:$ND$7,MATCH(A24,'[1]01-数据'!$C$1:$ND$1))," ")</f>
        <v>0.0918</v>
      </c>
      <c r="G24" s="8">
        <f>IF(A24&lt;&gt;"",INDEX('[1]01-数据'!$C$11:$ND$11,MATCH(A24,'[1]01-数据'!$C$1:$ND$1))," ")</f>
        <v>9.97</v>
      </c>
      <c r="H24" s="8">
        <f>IF(A24&lt;&gt;"",INDEX('[1]01-数据'!$C$14:$ND$14,MATCH(A24,'[1]01-数据'!$C$1:$ND$1))," ")</f>
        <v>8.2</v>
      </c>
    </row>
    <row r="25" spans="1:8">
      <c r="A25" s="28">
        <v>45404</v>
      </c>
      <c r="B25" s="11">
        <f>IF(A25&lt;&gt;"",INDEX('[1]01-数据'!$C$2:$ND$2,MATCH(A25,'[1]01-数据'!$C$1:$ND$1))," ")</f>
        <v>236.5</v>
      </c>
      <c r="C25" s="11">
        <f>IF(A25&lt;&gt;"",INDEX('[1]01-数据'!$C$3:$ND$3,MATCH(A25,'[1]01-数据'!$C$1:$ND$1))," ")</f>
        <v>5193.82</v>
      </c>
      <c r="D25" s="15">
        <f>IF(A25&lt;&gt;"",INDEX('[1]01-数据'!$C$4:$ND$4,MATCH(A25,'[1]01-数据'!$C$1:$ND$1))," ")</f>
        <v>0.0624</v>
      </c>
      <c r="E25" s="11">
        <f>IF(A25&lt;&gt;"",INDEX('[1]01-数据'!$C$6:$ND$6,MATCH(A25,'[1]01-数据'!$C$1:$ND$1))," ")</f>
        <v>27775.27</v>
      </c>
      <c r="F25" s="15">
        <f>IF(A25&lt;&gt;"",INDEX('[1]01-数据'!$C$7:$ND$7,MATCH(A25,'[1]01-数据'!$C$1:$ND$1))," ")</f>
        <v>0.0915</v>
      </c>
      <c r="G25" s="11">
        <f>IF(A25&lt;&gt;"",INDEX('[1]01-数据'!$C$11:$ND$11,MATCH(A25,'[1]01-数据'!$C$1:$ND$1))," ")</f>
        <v>10.43</v>
      </c>
      <c r="H25" s="11">
        <f>IF(A25&lt;&gt;"",INDEX('[1]01-数据'!$C$14:$ND$14,MATCH(A25,'[1]01-数据'!$C$1:$ND$1))," ")</f>
        <v>8.07</v>
      </c>
    </row>
    <row r="26" spans="1:8">
      <c r="A26" s="28">
        <v>45405</v>
      </c>
      <c r="B26" s="11">
        <f>IF(A26&lt;&gt;"",INDEX('[1]01-数据'!$C$2:$ND$2,MATCH(A26,'[1]01-数据'!$C$1:$ND$1))," ")</f>
        <v>238.1</v>
      </c>
      <c r="C26" s="11">
        <f>IF(A26&lt;&gt;"",INDEX('[1]01-数据'!$C$3:$ND$3,MATCH(A26,'[1]01-数据'!$C$1:$ND$1))," ")</f>
        <v>5431.92</v>
      </c>
      <c r="D26" s="15">
        <f>IF(A26&lt;&gt;"",INDEX('[1]01-数据'!$C$4:$ND$4,MATCH(A26,'[1]01-数据'!$C$1:$ND$1))," ")</f>
        <v>0.0627</v>
      </c>
      <c r="E26" s="11">
        <f>IF(A26&lt;&gt;"",INDEX('[1]01-数据'!$C$6:$ND$6,MATCH(A26,'[1]01-数据'!$C$1:$ND$1))," ")</f>
        <v>28013.37</v>
      </c>
      <c r="F26" s="15">
        <f>IF(A26&lt;&gt;"",INDEX('[1]01-数据'!$C$7:$ND$7,MATCH(A26,'[1]01-数据'!$C$1:$ND$1))," ")</f>
        <v>0.0913</v>
      </c>
      <c r="G26" s="11">
        <f>IF(A26&lt;&gt;"",INDEX('[1]01-数据'!$C$11:$ND$11,MATCH(A26,'[1]01-数据'!$C$1:$ND$1))," ")</f>
        <v>10.38</v>
      </c>
      <c r="H26" s="11">
        <f>IF(A26&lt;&gt;"",INDEX('[1]01-数据'!$C$14:$ND$14,MATCH(A26,'[1]01-数据'!$C$1:$ND$1))," ")</f>
        <v>8.28</v>
      </c>
    </row>
    <row r="27" spans="1:8">
      <c r="A27" s="28">
        <v>45406</v>
      </c>
      <c r="B27" s="11">
        <f>IF(A27&lt;&gt;"",INDEX('[1]01-数据'!$C$2:$ND$2,MATCH(A27,'[1]01-数据'!$C$1:$ND$1))," ")</f>
        <v>238.88</v>
      </c>
      <c r="C27" s="11">
        <f>IF(A27&lt;&gt;"",INDEX('[1]01-数据'!$C$3:$ND$3,MATCH(A27,'[1]01-数据'!$C$1:$ND$1))," ")</f>
        <v>5670.8</v>
      </c>
      <c r="D27" s="15">
        <f>IF(A27&lt;&gt;"",INDEX('[1]01-数据'!$C$4:$ND$4,MATCH(A27,'[1]01-数据'!$C$1:$ND$1))," ")</f>
        <v>0.0624</v>
      </c>
      <c r="E27" s="11">
        <f>IF(A27&lt;&gt;"",INDEX('[1]01-数据'!$C$6:$ND$6,MATCH(A27,'[1]01-数据'!$C$1:$ND$1))," ")</f>
        <v>28252.25</v>
      </c>
      <c r="F27" s="15">
        <f>IF(A27&lt;&gt;"",INDEX('[1]01-数据'!$C$7:$ND$7,MATCH(A27,'[1]01-数据'!$C$1:$ND$1))," ")</f>
        <v>0.091</v>
      </c>
      <c r="G27" s="11">
        <f>IF(A27&lt;&gt;"",INDEX('[1]01-数据'!$C$11:$ND$11,MATCH(A27,'[1]01-数据'!$C$1:$ND$1))," ")</f>
        <v>10.37</v>
      </c>
      <c r="H27" s="11">
        <f>IF(A27&lt;&gt;"",INDEX('[1]01-数据'!$C$14:$ND$14,MATCH(A27,'[1]01-数据'!$C$1:$ND$1))," ")</f>
        <v>8.29</v>
      </c>
    </row>
    <row r="28" spans="1:8">
      <c r="A28" s="28">
        <v>45407</v>
      </c>
      <c r="B28" s="11">
        <f>IF(A28&lt;&gt;"",INDEX('[1]01-数据'!$C$2:$ND$2,MATCH(A28,'[1]01-数据'!$C$1:$ND$1))," ")</f>
        <v>239.7</v>
      </c>
      <c r="C28" s="11">
        <f>IF(A28&lt;&gt;"",INDEX('[1]01-数据'!$C$3:$ND$3,MATCH(A28,'[1]01-数据'!$C$1:$ND$1))," ")</f>
        <v>5910.49</v>
      </c>
      <c r="D28" s="15">
        <f>IF(A28&lt;&gt;"",INDEX('[1]01-数据'!$C$4:$ND$4,MATCH(A28,'[1]01-数据'!$C$1:$ND$1))," ")</f>
        <v>0.0626</v>
      </c>
      <c r="E28" s="11">
        <f>IF(A28&lt;&gt;"",INDEX('[1]01-数据'!$C$6:$ND$6,MATCH(A28,'[1]01-数据'!$C$1:$ND$1))," ")</f>
        <v>28491.94</v>
      </c>
      <c r="F28" s="15">
        <f>IF(A28&lt;&gt;"",INDEX('[1]01-数据'!$C$7:$ND$7,MATCH(A28,'[1]01-数据'!$C$1:$ND$1))," ")</f>
        <v>0.0908</v>
      </c>
      <c r="G28" s="11">
        <f>IF(A28&lt;&gt;"",INDEX('[1]01-数据'!$C$11:$ND$11,MATCH(A28,'[1]01-数据'!$C$1:$ND$1))," ")</f>
        <v>10.49</v>
      </c>
      <c r="H28" s="11">
        <f>IF(A28&lt;&gt;"",INDEX('[1]01-数据'!$C$14:$ND$14,MATCH(A28,'[1]01-数据'!$C$1:$ND$1))," ")</f>
        <v>8.3</v>
      </c>
    </row>
    <row r="29" spans="1:8">
      <c r="A29" s="28">
        <v>45408</v>
      </c>
      <c r="B29" s="11">
        <f>IF(A29&lt;&gt;"",INDEX('[1]01-数据'!$C$2:$ND$2,MATCH(A29,'[1]01-数据'!$C$1:$ND$1))," ")</f>
        <v>242.03</v>
      </c>
      <c r="C29" s="11">
        <f>IF(A29&lt;&gt;"",INDEX('[1]01-数据'!$C$3:$ND$3,MATCH(A29,'[1]01-数据'!$C$1:$ND$1))," ")</f>
        <v>6152.52</v>
      </c>
      <c r="D29" s="15">
        <f>IF(A29&lt;&gt;"",INDEX('[1]01-数据'!$C$4:$ND$4,MATCH(A29,'[1]01-数据'!$C$1:$ND$1))," ")</f>
        <v>0.0637</v>
      </c>
      <c r="E29" s="11">
        <f>IF(A29&lt;&gt;"",INDEX('[1]01-数据'!$C$6:$ND$6,MATCH(A29,'[1]01-数据'!$C$1:$ND$1))," ")</f>
        <v>28733.97</v>
      </c>
      <c r="F29" s="15">
        <f>IF(A29&lt;&gt;"",INDEX('[1]01-数据'!$C$7:$ND$7,MATCH(A29,'[1]01-数据'!$C$1:$ND$1))," ")</f>
        <v>0.0908</v>
      </c>
      <c r="G29" s="11">
        <f>IF(A29&lt;&gt;"",INDEX('[1]01-数据'!$C$11:$ND$11,MATCH(A29,'[1]01-数据'!$C$1:$ND$1))," ")</f>
        <v>10.5</v>
      </c>
      <c r="H29" s="11">
        <f>IF(A29&lt;&gt;"",INDEX('[1]01-数据'!$C$14:$ND$14,MATCH(A29,'[1]01-数据'!$C$1:$ND$1))," ")</f>
        <v>8.36</v>
      </c>
    </row>
    <row r="30" spans="1:8">
      <c r="A30" s="27">
        <v>45409</v>
      </c>
      <c r="B30" s="8">
        <f>IF(A30&lt;&gt;"",INDEX('[1]01-数据'!$C$2:$ND$2,MATCH(A30,'[1]01-数据'!$C$1:$ND$1))," ")</f>
        <v>241.79</v>
      </c>
      <c r="C30" s="8">
        <f>IF(A30&lt;&gt;"",INDEX('[1]01-数据'!$C$3:$ND$3,MATCH(A30,'[1]01-数据'!$C$1:$ND$1))," ")</f>
        <v>6394.31</v>
      </c>
      <c r="D30" s="14">
        <f>IF(A30&lt;&gt;"",INDEX('[1]01-数据'!$C$4:$ND$4,MATCH(A30,'[1]01-数据'!$C$1:$ND$1))," ")</f>
        <v>0.0644</v>
      </c>
      <c r="E30" s="8">
        <f>IF(A30&lt;&gt;"",INDEX('[1]01-数据'!$C$6:$ND$6,MATCH(A30,'[1]01-数据'!$C$1:$ND$1))," ")</f>
        <v>28975.76</v>
      </c>
      <c r="F30" s="14">
        <f>IF(A30&lt;&gt;"",INDEX('[1]01-数据'!$C$7:$ND$7,MATCH(A30,'[1]01-数据'!$C$1:$ND$1))," ")</f>
        <v>0.0907</v>
      </c>
      <c r="G30" s="8">
        <f>IF(A30&lt;&gt;"",INDEX('[1]01-数据'!$C$11:$ND$11,MATCH(A30,'[1]01-数据'!$C$1:$ND$1))," ")</f>
        <v>10.54</v>
      </c>
      <c r="H30" s="8">
        <f>IF(A30&lt;&gt;"",INDEX('[1]01-数据'!$C$14:$ND$14,MATCH(A30,'[1]01-数据'!$C$1:$ND$1))," ")</f>
        <v>8.44</v>
      </c>
    </row>
    <row r="31" spans="1:8">
      <c r="A31" s="27">
        <v>45410</v>
      </c>
      <c r="B31" s="8">
        <f>IF(A31&lt;&gt;"",INDEX('[1]01-数据'!$C$2:$ND$2,MATCH(A31,'[1]01-数据'!$C$1:$ND$1))," ")</f>
        <v>240.8</v>
      </c>
      <c r="C31" s="8">
        <f>IF(A31&lt;&gt;"",INDEX('[1]01-数据'!$C$3:$ND$3,MATCH(A31,'[1]01-数据'!$C$1:$ND$1))," ")</f>
        <v>6635.11</v>
      </c>
      <c r="D31" s="14">
        <f>IF(A31&lt;&gt;"",INDEX('[1]01-数据'!$C$4:$ND$4,MATCH(A31,'[1]01-数据'!$C$1:$ND$1))," ")</f>
        <v>0.0647</v>
      </c>
      <c r="E31" s="8">
        <f>IF(A31&lt;&gt;"",INDEX('[1]01-数据'!$C$6:$ND$6,MATCH(A31,'[1]01-数据'!$C$1:$ND$1))," ")</f>
        <v>29216.56</v>
      </c>
      <c r="F31" s="14">
        <f>IF(A31&lt;&gt;"",INDEX('[1]01-数据'!$C$7:$ND$7,MATCH(A31,'[1]01-数据'!$C$1:$ND$1))," ")</f>
        <v>0.0906</v>
      </c>
      <c r="G31" s="8">
        <f>IF(A31&lt;&gt;"",INDEX('[1]01-数据'!$C$11:$ND$11,MATCH(A31,'[1]01-数据'!$C$1:$ND$1))," ")</f>
        <v>10.5</v>
      </c>
      <c r="H31" s="8">
        <f>IF(A31&lt;&gt;"",INDEX('[1]01-数据'!$C$14:$ND$14,MATCH(A31,'[1]01-数据'!$C$1:$ND$1))," ")</f>
        <v>8.39</v>
      </c>
    </row>
    <row r="32" spans="1:8">
      <c r="A32" s="28">
        <v>45411</v>
      </c>
      <c r="B32" s="11">
        <f>IF(A32&lt;&gt;"",INDEX('[1]01-数据'!$C$2:$ND$2,MATCH(A32,'[1]01-数据'!$C$1:$ND$1))," ")</f>
        <v>241.5</v>
      </c>
      <c r="C32" s="11">
        <f>IF(A32&lt;&gt;"",INDEX('[1]01-数据'!$C$3:$ND$3,MATCH(A32,'[1]01-数据'!$C$1:$ND$1))," ")</f>
        <v>6876.6</v>
      </c>
      <c r="D32" s="15">
        <f>IF(A32&lt;&gt;"",INDEX('[1]01-数据'!$C$4:$ND$4,MATCH(A32,'[1]01-数据'!$C$1:$ND$1))," ")</f>
        <v>0.0665</v>
      </c>
      <c r="E32" s="11">
        <f>IF(A32&lt;&gt;"",INDEX('[1]01-数据'!$C$6:$ND$6,MATCH(A32,'[1]01-数据'!$C$1:$ND$1))," ")</f>
        <v>29458.05</v>
      </c>
      <c r="F32" s="15">
        <f>IF(A32&lt;&gt;"",INDEX('[1]01-数据'!$C$7:$ND$7,MATCH(A32,'[1]01-数据'!$C$1:$ND$1))," ")</f>
        <v>0.0908</v>
      </c>
      <c r="G32" s="11">
        <f>IF(A32&lt;&gt;"",INDEX('[1]01-数据'!$C$11:$ND$11,MATCH(A32,'[1]01-数据'!$C$1:$ND$1))," ")</f>
        <v>10.6</v>
      </c>
      <c r="H32" s="11">
        <f>IF(A32&lt;&gt;"",INDEX('[1]01-数据'!$C$14:$ND$14,MATCH(A32,'[1]01-数据'!$C$1:$ND$1))," ")</f>
        <v>8.37</v>
      </c>
    </row>
    <row r="33" spans="1:8">
      <c r="A33" s="28">
        <v>45412</v>
      </c>
      <c r="B33" s="11">
        <f>IF(A33&lt;&gt;"",INDEX('[1]01-数据'!$C$2:$ND$2,MATCH(A33,'[1]01-数据'!$C$1:$ND$1))," ")</f>
        <v>236.06</v>
      </c>
      <c r="C33" s="11">
        <f>IF(A33&lt;&gt;"",INDEX('[1]01-数据'!$C$3:$ND$3,MATCH(A33,'[1]01-数据'!$C$1:$ND$1))," ")</f>
        <v>7112.67</v>
      </c>
      <c r="D33" s="15">
        <f>IF(A33&lt;&gt;"",INDEX('[1]01-数据'!$C$4:$ND$4,MATCH(A33,'[1]01-数据'!$C$1:$ND$1))," ")</f>
        <v>0.0691</v>
      </c>
      <c r="E33" s="11">
        <f>IF(A33&lt;&gt;"",INDEX('[1]01-数据'!$C$6:$ND$6,MATCH(A33,'[1]01-数据'!$C$1:$ND$1))," ")</f>
        <v>29694.12</v>
      </c>
      <c r="F33" s="15">
        <f>IF(A33&lt;&gt;"",INDEX('[1]01-数据'!$C$7:$ND$7,MATCH(A33,'[1]01-数据'!$C$1:$ND$1))," ")</f>
        <v>0.0913</v>
      </c>
      <c r="G33" s="11">
        <f>IF(A33&lt;&gt;"",INDEX('[1]01-数据'!$C$11:$ND$11,MATCH(A33,'[1]01-数据'!$C$1:$ND$1))," ")</f>
        <v>10.45</v>
      </c>
      <c r="H33" s="11">
        <f>IF(A33&lt;&gt;"",INDEX('[1]01-数据'!$C$14:$ND$14,MATCH(A33,'[1]01-数据'!$C$1:$ND$1))," ")</f>
        <v>8.38</v>
      </c>
    </row>
    <row r="34" spans="1:8">
      <c r="A34" s="13" t="s">
        <v>11</v>
      </c>
      <c r="B34" s="13"/>
      <c r="C34" s="13"/>
      <c r="D34" s="13"/>
      <c r="E34" s="13"/>
      <c r="F34" s="13"/>
      <c r="G34" s="16"/>
      <c r="H34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9" workbookViewId="0">
      <selection activeCell="E34" sqref="C34 E34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18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28">
        <v>45413</v>
      </c>
      <c r="B4" s="11">
        <f>IF(A4&lt;&gt;"",INDEX('[1]01-数据'!$C$2:$ND$2,MATCH(A4,'[1]01-数据'!$C$1:$ND$1))," ")</f>
        <v>208.11</v>
      </c>
      <c r="C4" s="11">
        <f>IF(A4&lt;&gt;"",INDEX('[1]01-数据'!$C$3:$ND$3,MATCH(A4,'[1]01-数据'!$C$1:$ND$1))," ")</f>
        <v>208.11</v>
      </c>
      <c r="D4" s="12">
        <f>IF(A4&lt;&gt;"",INDEX('[1]01-数据'!$C$4:$ND$4,MATCH(A4,'[1]01-数据'!$C$1:$ND$1))," ")</f>
        <v>0.0987</v>
      </c>
      <c r="E4" s="11">
        <f>IF(A4&lt;&gt;"",INDEX('[1]01-数据'!$C$6:$ND$6,MATCH(A4,'[1]01-数据'!$C$1:$ND$1))," ")</f>
        <v>29902.22</v>
      </c>
      <c r="F4" s="15">
        <f>IF(A4&lt;&gt;"",INDEX('[1]01-数据'!$C$7:$ND$7,MATCH(A4,'[1]01-数据'!$C$1:$ND$1))," ")</f>
        <v>0.0913</v>
      </c>
      <c r="G4" s="11">
        <f>IF(A4&lt;&gt;"",INDEX('[1]01-数据'!$C$11:$ND$11,MATCH(A4,'[1]01-数据'!$C$1:$ND$1))," ")</f>
        <v>8.81</v>
      </c>
      <c r="H4" s="11">
        <f>IF(A4&lt;&gt;"",INDEX('[1]01-数据'!$C$14:$ND$14,MATCH(A4,'[1]01-数据'!$C$1:$ND$1))," ")</f>
        <v>7.78</v>
      </c>
    </row>
    <row r="5" spans="1:8">
      <c r="A5" s="28">
        <v>45414</v>
      </c>
      <c r="B5" s="11">
        <f>IF(A5&lt;&gt;"",INDEX('[1]01-数据'!$C$2:$ND$2,MATCH(A5,'[1]01-数据'!$C$1:$ND$1))," ")</f>
        <v>209.68</v>
      </c>
      <c r="C5" s="11">
        <f>IF(A5&lt;&gt;"",INDEX('[1]01-数据'!$C$3:$ND$3,MATCH(A5,'[1]01-数据'!$C$1:$ND$1))," ")</f>
        <v>417.79</v>
      </c>
      <c r="D5" s="15">
        <f>IF(A5&lt;&gt;"",INDEX('[1]01-数据'!$C$4:$ND$4,MATCH(A5,'[1]01-数据'!$C$1:$ND$1))," ")</f>
        <v>0.0827</v>
      </c>
      <c r="E5" s="11">
        <f>IF(A5&lt;&gt;"",INDEX('[1]01-数据'!$C$6:$ND$6,MATCH(A5,'[1]01-数据'!$C$1:$ND$1))," ")</f>
        <v>30111.91</v>
      </c>
      <c r="F5" s="15">
        <f>IF(A5&lt;&gt;"",INDEX('[1]01-数据'!$C$7:$ND$7,MATCH(A5,'[1]01-数据'!$C$1:$ND$1))," ")</f>
        <v>0.0911</v>
      </c>
      <c r="G5" s="11">
        <f>IF(A5&lt;&gt;"",INDEX('[1]01-数据'!$C$11:$ND$11,MATCH(A5,'[1]01-数据'!$C$1:$ND$1))," ")</f>
        <v>9.14</v>
      </c>
      <c r="H5" s="11">
        <f>IF(A5&lt;&gt;"",INDEX('[1]01-数据'!$C$14:$ND$14,MATCH(A5,'[1]01-数据'!$C$1:$ND$1))," ")</f>
        <v>7.25</v>
      </c>
    </row>
    <row r="6" spans="1:8">
      <c r="A6" s="28">
        <v>45415</v>
      </c>
      <c r="B6" s="11">
        <f>IF(A6&lt;&gt;"",INDEX('[1]01-数据'!$C$2:$ND$2,MATCH(A6,'[1]01-数据'!$C$1:$ND$1))," ")</f>
        <v>220.05</v>
      </c>
      <c r="C6" s="11">
        <f>IF(A6&lt;&gt;"",INDEX('[1]01-数据'!$C$3:$ND$3,MATCH(A6,'[1]01-数据'!$C$1:$ND$1))," ")</f>
        <v>637.84</v>
      </c>
      <c r="D6" s="15">
        <f>IF(A6&lt;&gt;"",INDEX('[1]01-数据'!$C$4:$ND$4,MATCH(A6,'[1]01-数据'!$C$1:$ND$1))," ")</f>
        <v>0.0709</v>
      </c>
      <c r="E6" s="11">
        <f>IF(A6&lt;&gt;"",INDEX('[1]01-数据'!$C$6:$ND$6,MATCH(A6,'[1]01-数据'!$C$1:$ND$1))," ")</f>
        <v>30331.96</v>
      </c>
      <c r="F6" s="15">
        <f>IF(A6&lt;&gt;"",INDEX('[1]01-数据'!$C$7:$ND$7,MATCH(A6,'[1]01-数据'!$C$1:$ND$1))," ")</f>
        <v>0.0908</v>
      </c>
      <c r="G6" s="11">
        <f>IF(A6&lt;&gt;"",INDEX('[1]01-数据'!$C$11:$ND$11,MATCH(A6,'[1]01-数据'!$C$1:$ND$1))," ")</f>
        <v>9.6</v>
      </c>
      <c r="H6" s="11">
        <f>IF(A6&lt;&gt;"",INDEX('[1]01-数据'!$C$14:$ND$14,MATCH(A6,'[1]01-数据'!$C$1:$ND$1))," ")</f>
        <v>7.54</v>
      </c>
    </row>
    <row r="7" spans="1:8">
      <c r="A7" s="27">
        <v>45416</v>
      </c>
      <c r="B7" s="8">
        <f>IF(A7&lt;&gt;"",INDEX('[1]01-数据'!$C$2:$ND$2,MATCH(A7,'[1]01-数据'!$C$1:$ND$1))," ")</f>
        <v>225.86</v>
      </c>
      <c r="C7" s="8">
        <f>IF(A7&lt;&gt;"",INDEX('[1]01-数据'!$C$3:$ND$3,MATCH(A7,'[1]01-数据'!$C$1:$ND$1))," ")</f>
        <v>863.7</v>
      </c>
      <c r="D7" s="14">
        <f>IF(A7&lt;&gt;"",INDEX('[1]01-数据'!$C$4:$ND$4,MATCH(A7,'[1]01-数据'!$C$1:$ND$1))," ")</f>
        <v>0.0556</v>
      </c>
      <c r="E7" s="8">
        <f>IF(A7&lt;&gt;"",INDEX('[1]01-数据'!$C$6:$ND$6,MATCH(A7,'[1]01-数据'!$C$1:$ND$1))," ")</f>
        <v>30557.82</v>
      </c>
      <c r="F7" s="14">
        <f>IF(A7&lt;&gt;"",INDEX('[1]01-数据'!$C$7:$ND$7,MATCH(A7,'[1]01-数据'!$C$1:$ND$1))," ")</f>
        <v>0.0902</v>
      </c>
      <c r="G7" s="8">
        <f>IF(A7&lt;&gt;"",INDEX('[1]01-数据'!$C$11:$ND$11,MATCH(A7,'[1]01-数据'!$C$1:$ND$1))," ")</f>
        <v>9.98</v>
      </c>
      <c r="H7" s="8">
        <f>IF(A7&lt;&gt;"",INDEX('[1]01-数据'!$C$14:$ND$14,MATCH(A7,'[1]01-数据'!$C$1:$ND$1))," ")</f>
        <v>7.85</v>
      </c>
    </row>
    <row r="8" spans="1:8">
      <c r="A8" s="27">
        <v>45417</v>
      </c>
      <c r="B8" s="8">
        <f>IF(A8&lt;&gt;"",INDEX('[1]01-数据'!$C$2:$ND$2,MATCH(A8,'[1]01-数据'!$C$1:$ND$1))," ")</f>
        <v>230.23</v>
      </c>
      <c r="C8" s="8">
        <f>IF(A8&lt;&gt;"",INDEX('[1]01-数据'!$C$3:$ND$3,MATCH(A8,'[1]01-数据'!$C$1:$ND$1))," ")</f>
        <v>1093.93</v>
      </c>
      <c r="D8" s="9">
        <f>IF(A8&lt;&gt;"",INDEX('[1]01-数据'!$C$4:$ND$4,MATCH(A8,'[1]01-数据'!$C$1:$ND$1))," ")</f>
        <v>0.0478</v>
      </c>
      <c r="E8" s="8">
        <f>IF(A8&lt;&gt;"",INDEX('[1]01-数据'!$C$6:$ND$6,MATCH(A8,'[1]01-数据'!$C$1:$ND$1))," ")</f>
        <v>30788.04</v>
      </c>
      <c r="F8" s="14">
        <f>IF(A8&lt;&gt;"",INDEX('[1]01-数据'!$C$7:$ND$7,MATCH(A8,'[1]01-数据'!$C$1:$ND$1))," ")</f>
        <v>0.0897</v>
      </c>
      <c r="G8" s="8">
        <f>IF(A8&lt;&gt;"",INDEX('[1]01-数据'!$C$11:$ND$11,MATCH(A8,'[1]01-数据'!$C$1:$ND$1))," ")</f>
        <v>10.05</v>
      </c>
      <c r="H8" s="8">
        <f>IF(A8&lt;&gt;"",INDEX('[1]01-数据'!$C$14:$ND$14,MATCH(A8,'[1]01-数据'!$C$1:$ND$1))," ")</f>
        <v>8.03</v>
      </c>
    </row>
    <row r="9" spans="1:8">
      <c r="A9" s="28">
        <v>45418</v>
      </c>
      <c r="B9" s="11">
        <f>IF(A9&lt;&gt;"",INDEX('[1]01-数据'!$C$2:$ND$2,MATCH(A9,'[1]01-数据'!$C$1:$ND$1))," ")</f>
        <v>238.07</v>
      </c>
      <c r="C9" s="11">
        <f>IF(A9&lt;&gt;"",INDEX('[1]01-数据'!$C$3:$ND$3,MATCH(A9,'[1]01-数据'!$C$1:$ND$1))," ")</f>
        <v>1332</v>
      </c>
      <c r="D9" s="12">
        <f>IF(A9&lt;&gt;"",INDEX('[1]01-数据'!$C$4:$ND$4,MATCH(A9,'[1]01-数据'!$C$1:$ND$1))," ")</f>
        <v>0.0488</v>
      </c>
      <c r="E9" s="11">
        <f>IF(A9&lt;&gt;"",INDEX('[1]01-数据'!$C$6:$ND$6,MATCH(A9,'[1]01-数据'!$C$1:$ND$1))," ")</f>
        <v>31026.11</v>
      </c>
      <c r="F9" s="15">
        <f>IF(A9&lt;&gt;"",INDEX('[1]01-数据'!$C$7:$ND$7,MATCH(A9,'[1]01-数据'!$C$1:$ND$1))," ")</f>
        <v>0.0894</v>
      </c>
      <c r="G9" s="11">
        <f>IF(A9&lt;&gt;"",INDEX('[1]01-数据'!$C$11:$ND$11,MATCH(A9,'[1]01-数据'!$C$1:$ND$1))," ")</f>
        <v>10.44</v>
      </c>
      <c r="H9" s="11">
        <f>IF(A9&lt;&gt;"",INDEX('[1]01-数据'!$C$14:$ND$14,MATCH(A9,'[1]01-数据'!$C$1:$ND$1))," ")</f>
        <v>8.12</v>
      </c>
    </row>
    <row r="10" spans="1:8">
      <c r="A10" s="28">
        <v>45419</v>
      </c>
      <c r="B10" s="11">
        <f>IF(A10&lt;&gt;"",INDEX('[1]01-数据'!$C$2:$ND$2,MATCH(A10,'[1]01-数据'!$C$1:$ND$1))," ")</f>
        <v>240.73</v>
      </c>
      <c r="C10" s="11">
        <f>IF(A10&lt;&gt;"",INDEX('[1]01-数据'!$C$3:$ND$3,MATCH(A10,'[1]01-数据'!$C$1:$ND$1))," ")</f>
        <v>1572.73</v>
      </c>
      <c r="D10" s="12">
        <f>IF(A10&lt;&gt;"",INDEX('[1]01-数据'!$C$4:$ND$4,MATCH(A10,'[1]01-数据'!$C$1:$ND$1))," ")</f>
        <v>0.0564</v>
      </c>
      <c r="E10" s="11">
        <f>IF(A10&lt;&gt;"",INDEX('[1]01-数据'!$C$6:$ND$6,MATCH(A10,'[1]01-数据'!$C$1:$ND$1))," ")</f>
        <v>31266.84</v>
      </c>
      <c r="F10" s="15">
        <f>IF(A10&lt;&gt;"",INDEX('[1]01-数据'!$C$7:$ND$7,MATCH(A10,'[1]01-数据'!$C$1:$ND$1))," ")</f>
        <v>0.0895</v>
      </c>
      <c r="G10" s="11">
        <f>IF(A10&lt;&gt;"",INDEX('[1]01-数据'!$C$11:$ND$11,MATCH(A10,'[1]01-数据'!$C$1:$ND$1))," ")</f>
        <v>10.5</v>
      </c>
      <c r="H10" s="11">
        <f>IF(A10&lt;&gt;"",INDEX('[1]01-数据'!$C$14:$ND$14,MATCH(A10,'[1]01-数据'!$C$1:$ND$1))," ")</f>
        <v>8.3</v>
      </c>
    </row>
    <row r="11" spans="1:8">
      <c r="A11" s="28">
        <v>45420</v>
      </c>
      <c r="B11" s="11">
        <f>IF(A11&lt;&gt;"",INDEX('[1]01-数据'!$C$2:$ND$2,MATCH(A11,'[1]01-数据'!$C$1:$ND$1))," ")</f>
        <v>241.5</v>
      </c>
      <c r="C11" s="11">
        <f>IF(A11&lt;&gt;"",INDEX('[1]01-数据'!$C$3:$ND$3,MATCH(A11,'[1]01-数据'!$C$1:$ND$1))," ")</f>
        <v>1814.22</v>
      </c>
      <c r="D11" s="12">
        <f>IF(A11&lt;&gt;"",INDEX('[1]01-数据'!$C$4:$ND$4,MATCH(A11,'[1]01-数据'!$C$1:$ND$1))," ")</f>
        <v>0.0613</v>
      </c>
      <c r="E11" s="11">
        <f>IF(A11&lt;&gt;"",INDEX('[1]01-数据'!$C$6:$ND$6,MATCH(A11,'[1]01-数据'!$C$1:$ND$1))," ")</f>
        <v>31508.34</v>
      </c>
      <c r="F11" s="15">
        <f>IF(A11&lt;&gt;"",INDEX('[1]01-数据'!$C$7:$ND$7,MATCH(A11,'[1]01-数据'!$C$1:$ND$1))," ")</f>
        <v>0.0895</v>
      </c>
      <c r="G11" s="11">
        <f>IF(A11&lt;&gt;"",INDEX('[1]01-数据'!$C$11:$ND$11,MATCH(A11,'[1]01-数据'!$C$1:$ND$1))," ")</f>
        <v>10.55</v>
      </c>
      <c r="H11" s="11">
        <f>IF(A11&lt;&gt;"",INDEX('[1]01-数据'!$C$14:$ND$14,MATCH(A11,'[1]01-数据'!$C$1:$ND$1))," ")</f>
        <v>8.37</v>
      </c>
    </row>
    <row r="12" spans="1:8">
      <c r="A12" s="28">
        <v>45421</v>
      </c>
      <c r="B12" s="11">
        <f>IF(A12&lt;&gt;"",INDEX('[1]01-数据'!$C$2:$ND$2,MATCH(A12,'[1]01-数据'!$C$1:$ND$1))," ")</f>
        <v>240.19</v>
      </c>
      <c r="C12" s="11">
        <f>IF(A12&lt;&gt;"",INDEX('[1]01-数据'!$C$3:$ND$3,MATCH(A12,'[1]01-数据'!$C$1:$ND$1))," ")</f>
        <v>2054.41</v>
      </c>
      <c r="D12" s="12">
        <f>IF(A12&lt;&gt;"",INDEX('[1]01-数据'!$C$4:$ND$4,MATCH(A12,'[1]01-数据'!$C$1:$ND$1))," ")</f>
        <v>0.0637</v>
      </c>
      <c r="E12" s="11">
        <f>IF(A12&lt;&gt;"",INDEX('[1]01-数据'!$C$6:$ND$6,MATCH(A12,'[1]01-数据'!$C$1:$ND$1))," ")</f>
        <v>31748.52</v>
      </c>
      <c r="F12" s="15">
        <f>IF(A12&lt;&gt;"",INDEX('[1]01-数据'!$C$7:$ND$7,MATCH(A12,'[1]01-数据'!$C$1:$ND$1))," ")</f>
        <v>0.0894</v>
      </c>
      <c r="G12" s="11">
        <f>IF(A12&lt;&gt;"",INDEX('[1]01-数据'!$C$11:$ND$11,MATCH(A12,'[1]01-数据'!$C$1:$ND$1))," ")</f>
        <v>10.54</v>
      </c>
      <c r="H12" s="11">
        <f>IF(A12&lt;&gt;"",INDEX('[1]01-数据'!$C$14:$ND$14,MATCH(A12,'[1]01-数据'!$C$1:$ND$1))," ")</f>
        <v>8.35</v>
      </c>
    </row>
    <row r="13" spans="1:11">
      <c r="A13" s="28">
        <v>45422</v>
      </c>
      <c r="B13" s="11">
        <f>IF(A13&lt;&gt;"",INDEX('[1]01-数据'!$C$2:$ND$2,MATCH(A13,'[1]01-数据'!$C$1:$ND$1))," ")</f>
        <v>241.41</v>
      </c>
      <c r="C13" s="11">
        <f>IF(A13&lt;&gt;"",INDEX('[1]01-数据'!$C$3:$ND$3,MATCH(A13,'[1]01-数据'!$C$1:$ND$1))," ")</f>
        <v>2295.81</v>
      </c>
      <c r="D13" s="15">
        <f>IF(A13&lt;&gt;"",INDEX('[1]01-数据'!$C$4:$ND$4,MATCH(A13,'[1]01-数据'!$C$1:$ND$1))," ")</f>
        <v>0.0656</v>
      </c>
      <c r="E13" s="11">
        <f>IF(A13&lt;&gt;"",INDEX('[1]01-数据'!$C$6:$ND$6,MATCH(A13,'[1]01-数据'!$C$1:$ND$1))," ")</f>
        <v>31989.93</v>
      </c>
      <c r="F13" s="15">
        <f>IF(A13&lt;&gt;"",INDEX('[1]01-数据'!$C$7:$ND$7,MATCH(A13,'[1]01-数据'!$C$1:$ND$1))," ")</f>
        <v>0.0894</v>
      </c>
      <c r="G13" s="11">
        <f>IF(A13&lt;&gt;"",INDEX('[1]01-数据'!$C$11:$ND$11,MATCH(A13,'[1]01-数据'!$C$1:$ND$1))," ")</f>
        <v>10.52</v>
      </c>
      <c r="H13" s="11">
        <f>IF(A13&lt;&gt;"",INDEX('[1]01-数据'!$C$14:$ND$14,MATCH(A13,'[1]01-数据'!$C$1:$ND$1))," ")</f>
        <v>8.35</v>
      </c>
      <c r="K13" s="17"/>
    </row>
    <row r="14" spans="1:11">
      <c r="A14" s="27">
        <v>45423</v>
      </c>
      <c r="B14" s="8">
        <f>IF(A14&lt;&gt;"",INDEX('[1]01-数据'!$C$2:$ND$2,MATCH(A14,'[1]01-数据'!$C$1:$ND$1))," ")</f>
        <v>241.58</v>
      </c>
      <c r="C14" s="8">
        <f>IF(A14&lt;&gt;"",INDEX('[1]01-数据'!$C$3:$ND$3,MATCH(A14,'[1]01-数据'!$C$1:$ND$1))," ")</f>
        <v>2537.39</v>
      </c>
      <c r="D14" s="14">
        <f>IF(A14&lt;&gt;"",INDEX('[1]01-数据'!$C$4:$ND$4,MATCH(A14,'[1]01-数据'!$C$1:$ND$1))," ")</f>
        <v>0.0677</v>
      </c>
      <c r="E14" s="8">
        <f>IF(A14&lt;&gt;"",INDEX('[1]01-数据'!$C$6:$ND$6,MATCH(A14,'[1]01-数据'!$C$1:$ND$1))," ")</f>
        <v>32231.51</v>
      </c>
      <c r="F14" s="14">
        <f>IF(A14&lt;&gt;"",INDEX('[1]01-数据'!$C$7:$ND$7,MATCH(A14,'[1]01-数据'!$C$1:$ND$1))," ")</f>
        <v>0.0894</v>
      </c>
      <c r="G14" s="8">
        <f>IF(A14&lt;&gt;"",INDEX('[1]01-数据'!$C$11:$ND$11,MATCH(A14,'[1]01-数据'!$C$1:$ND$1))," ")</f>
        <v>10.55</v>
      </c>
      <c r="H14" s="8">
        <f>IF(A14&lt;&gt;"",INDEX('[1]01-数据'!$C$14:$ND$14,MATCH(A14,'[1]01-数据'!$C$1:$ND$1))," ")</f>
        <v>8.41</v>
      </c>
      <c r="K14" s="17"/>
    </row>
    <row r="15" spans="1:11">
      <c r="A15" s="27">
        <v>45424</v>
      </c>
      <c r="B15" s="8">
        <f>IF(A15&lt;&gt;"",INDEX('[1]01-数据'!$C$2:$ND$2,MATCH(A15,'[1]01-数据'!$C$1:$ND$1))," ")</f>
        <v>234.83</v>
      </c>
      <c r="C15" s="8">
        <f>IF(A15&lt;&gt;"",INDEX('[1]01-数据'!$C$3:$ND$3,MATCH(A15,'[1]01-数据'!$C$1:$ND$1))," ")</f>
        <v>2772.22</v>
      </c>
      <c r="D15" s="14">
        <f>IF(A15&lt;&gt;"",INDEX('[1]01-数据'!$C$4:$ND$4,MATCH(A15,'[1]01-数据'!$C$1:$ND$1))," ")</f>
        <v>0.0666</v>
      </c>
      <c r="E15" s="8">
        <f>IF(A15&lt;&gt;"",INDEX('[1]01-数据'!$C$6:$ND$6,MATCH(A15,'[1]01-数据'!$C$1:$ND$1))," ")</f>
        <v>32466.34</v>
      </c>
      <c r="F15" s="14">
        <f>IF(A15&lt;&gt;"",INDEX('[1]01-数据'!$C$7:$ND$7,MATCH(A15,'[1]01-数据'!$C$1:$ND$1))," ")</f>
        <v>0.0891</v>
      </c>
      <c r="G15" s="8">
        <f>IF(A15&lt;&gt;"",INDEX('[1]01-数据'!$C$11:$ND$11,MATCH(A15,'[1]01-数据'!$C$1:$ND$1))," ")</f>
        <v>10.13</v>
      </c>
      <c r="H15" s="8">
        <f>IF(A15&lt;&gt;"",INDEX('[1]01-数据'!$C$14:$ND$14,MATCH(A15,'[1]01-数据'!$C$1:$ND$1))," ")</f>
        <v>8.4</v>
      </c>
      <c r="K15" s="17"/>
    </row>
    <row r="16" spans="1:8">
      <c r="A16" s="28">
        <v>45425</v>
      </c>
      <c r="B16" s="11">
        <f>IF(A16&lt;&gt;"",INDEX('[1]01-数据'!$C$2:$ND$2,MATCH(A16,'[1]01-数据'!$C$1:$ND$1))," ")</f>
        <v>239.67</v>
      </c>
      <c r="C16" s="11">
        <f>IF(A16&lt;&gt;"",INDEX('[1]01-数据'!$C$3:$ND$3,MATCH(A16,'[1]01-数据'!$C$1:$ND$1))," ")</f>
        <v>3011.89</v>
      </c>
      <c r="D16" s="15">
        <f>IF(A16&lt;&gt;"",INDEX('[1]01-数据'!$C$4:$ND$4,MATCH(A16,'[1]01-数据'!$C$1:$ND$1))," ")</f>
        <v>0.0681</v>
      </c>
      <c r="E16" s="11">
        <f>IF(A16&lt;&gt;"",INDEX('[1]01-数据'!$C$6:$ND$6,MATCH(A16,'[1]01-数据'!$C$1:$ND$1))," ")</f>
        <v>32706.01</v>
      </c>
      <c r="F16" s="15">
        <f>IF(A16&lt;&gt;"",INDEX('[1]01-数据'!$C$7:$ND$7,MATCH(A16,'[1]01-数据'!$C$1:$ND$1))," ")</f>
        <v>0.0891</v>
      </c>
      <c r="G16" s="11">
        <f>IF(A16&lt;&gt;"",INDEX('[1]01-数据'!$C$11:$ND$11,MATCH(A16,'[1]01-数据'!$C$1:$ND$1))," ")</f>
        <v>10.49</v>
      </c>
      <c r="H16" s="11">
        <f>IF(A16&lt;&gt;"",INDEX('[1]01-数据'!$C$14:$ND$14,MATCH(A16,'[1]01-数据'!$C$1:$ND$1))," ")</f>
        <v>8.2</v>
      </c>
    </row>
    <row r="17" spans="1:8">
      <c r="A17" s="28">
        <v>45426</v>
      </c>
      <c r="B17" s="11">
        <f>IF(A17&lt;&gt;"",INDEX('[1]01-数据'!$C$2:$ND$2,MATCH(A17,'[1]01-数据'!$C$1:$ND$1))," ")</f>
        <v>242.49</v>
      </c>
      <c r="C17" s="11">
        <f>IF(A17&lt;&gt;"",INDEX('[1]01-数据'!$C$3:$ND$3,MATCH(A17,'[1]01-数据'!$C$1:$ND$1))," ")</f>
        <v>3254.38</v>
      </c>
      <c r="D17" s="15">
        <f>IF(A17&lt;&gt;"",INDEX('[1]01-数据'!$C$4:$ND$4,MATCH(A17,'[1]01-数据'!$C$1:$ND$1))," ")</f>
        <v>0.0719</v>
      </c>
      <c r="E17" s="11">
        <f>IF(A17&lt;&gt;"",INDEX('[1]01-数据'!$C$6:$ND$6,MATCH(A17,'[1]01-数据'!$C$1:$ND$1))," ")</f>
        <v>32948.5</v>
      </c>
      <c r="F17" s="15">
        <f>IF(A17&lt;&gt;"",INDEX('[1]01-数据'!$C$7:$ND$7,MATCH(A17,'[1]01-数据'!$C$1:$ND$1))," ")</f>
        <v>0.0893</v>
      </c>
      <c r="G17" s="11">
        <f>IF(A17&lt;&gt;"",INDEX('[1]01-数据'!$C$11:$ND$11,MATCH(A17,'[1]01-数据'!$C$1:$ND$1))," ")</f>
        <v>10.54</v>
      </c>
      <c r="H17" s="11">
        <f>IF(A17&lt;&gt;"",INDEX('[1]01-数据'!$C$14:$ND$14,MATCH(A17,'[1]01-数据'!$C$1:$ND$1))," ")</f>
        <v>8.4</v>
      </c>
    </row>
    <row r="18" spans="1:8">
      <c r="A18" s="28">
        <v>45427</v>
      </c>
      <c r="B18" s="11">
        <f>IF(A18&lt;&gt;"",INDEX('[1]01-数据'!$C$2:$ND$2,MATCH(A18,'[1]01-数据'!$C$1:$ND$1))," ")</f>
        <v>242.1</v>
      </c>
      <c r="C18" s="11">
        <f>IF(A18&lt;&gt;"",INDEX('[1]01-数据'!$C$3:$ND$3,MATCH(A18,'[1]01-数据'!$C$1:$ND$1))," ")</f>
        <v>3496.48</v>
      </c>
      <c r="D18" s="15">
        <f>IF(A18&lt;&gt;"",INDEX('[1]01-数据'!$C$4:$ND$4,MATCH(A18,'[1]01-数据'!$C$1:$ND$1))," ")</f>
        <v>0.0719</v>
      </c>
      <c r="E18" s="11">
        <f>IF(A18&lt;&gt;"",INDEX('[1]01-数据'!$C$6:$ND$6,MATCH(A18,'[1]01-数据'!$C$1:$ND$1))," ")</f>
        <v>33190.6</v>
      </c>
      <c r="F18" s="15">
        <f>IF(A18&lt;&gt;"",INDEX('[1]01-数据'!$C$7:$ND$7,MATCH(A18,'[1]01-数据'!$C$1:$ND$1))," ")</f>
        <v>0.0892</v>
      </c>
      <c r="G18" s="11">
        <f>IF(A18&lt;&gt;"",INDEX('[1]01-数据'!$C$11:$ND$11,MATCH(A18,'[1]01-数据'!$C$1:$ND$1))," ")</f>
        <v>10.58</v>
      </c>
      <c r="H18" s="11">
        <f>IF(A18&lt;&gt;"",INDEX('[1]01-数据'!$C$14:$ND$14,MATCH(A18,'[1]01-数据'!$C$1:$ND$1))," ")</f>
        <v>8.42</v>
      </c>
    </row>
    <row r="19" spans="1:8">
      <c r="A19" s="28">
        <v>45428</v>
      </c>
      <c r="B19" s="11">
        <f>IF(A19&lt;&gt;"",INDEX('[1]01-数据'!$C$2:$ND$2,MATCH(A19,'[1]01-数据'!$C$1:$ND$1))," ")</f>
        <v>242.68</v>
      </c>
      <c r="C19" s="11">
        <f>IF(A19&lt;&gt;"",INDEX('[1]01-数据'!$C$3:$ND$3,MATCH(A19,'[1]01-数据'!$C$1:$ND$1))," ")</f>
        <v>3739.16</v>
      </c>
      <c r="D19" s="15">
        <f>IF(A19&lt;&gt;"",INDEX('[1]01-数据'!$C$4:$ND$4,MATCH(A19,'[1]01-数据'!$C$1:$ND$1))," ")</f>
        <v>0.0706</v>
      </c>
      <c r="E19" s="11">
        <f>IF(A19&lt;&gt;"",INDEX('[1]01-数据'!$C$6:$ND$6,MATCH(A19,'[1]01-数据'!$C$1:$ND$1))," ")</f>
        <v>33433.27</v>
      </c>
      <c r="F19" s="15">
        <f>IF(A19&lt;&gt;"",INDEX('[1]01-数据'!$C$7:$ND$7,MATCH(A19,'[1]01-数据'!$C$1:$ND$1))," ")</f>
        <v>0.0889</v>
      </c>
      <c r="G19" s="11">
        <f>IF(A19&lt;&gt;"",INDEX('[1]01-数据'!$C$11:$ND$11,MATCH(A19,'[1]01-数据'!$C$1:$ND$1))," ")</f>
        <v>10.62</v>
      </c>
      <c r="H19" s="11">
        <f>IF(A19&lt;&gt;"",INDEX('[1]01-数据'!$C$14:$ND$14,MATCH(A19,'[1]01-数据'!$C$1:$ND$1))," ")</f>
        <v>8.44</v>
      </c>
    </row>
    <row r="20" spans="1:8">
      <c r="A20" s="28">
        <v>45429</v>
      </c>
      <c r="B20" s="11">
        <f>IF(A20&lt;&gt;"",INDEX('[1]01-数据'!$C$2:$ND$2,MATCH(A20,'[1]01-数据'!$C$1:$ND$1))," ")</f>
        <v>248.2</v>
      </c>
      <c r="C20" s="11">
        <f>IF(A20&lt;&gt;"",INDEX('[1]01-数据'!$C$3:$ND$3,MATCH(A20,'[1]01-数据'!$C$1:$ND$1))," ")</f>
        <v>3987.35</v>
      </c>
      <c r="D20" s="15">
        <f>IF(A20&lt;&gt;"",INDEX('[1]01-数据'!$C$4:$ND$4,MATCH(A20,'[1]01-数据'!$C$1:$ND$1))," ")</f>
        <v>0.0704</v>
      </c>
      <c r="E20" s="11">
        <f>IF(A20&lt;&gt;"",INDEX('[1]01-数据'!$C$6:$ND$6,MATCH(A20,'[1]01-数据'!$C$1:$ND$1))," ")</f>
        <v>33681.47</v>
      </c>
      <c r="F20" s="15">
        <f>IF(A20&lt;&gt;"",INDEX('[1]01-数据'!$C$7:$ND$7,MATCH(A20,'[1]01-数据'!$C$1:$ND$1))," ")</f>
        <v>0.0887</v>
      </c>
      <c r="G20" s="11">
        <f>IF(A20&lt;&gt;"",INDEX('[1]01-数据'!$C$11:$ND$11,MATCH(A20,'[1]01-数据'!$C$1:$ND$1))," ")</f>
        <v>10.85</v>
      </c>
      <c r="H20" s="11">
        <f>IF(A20&lt;&gt;"",INDEX('[1]01-数据'!$C$14:$ND$14,MATCH(A20,'[1]01-数据'!$C$1:$ND$1))," ")</f>
        <v>8.5</v>
      </c>
    </row>
    <row r="21" spans="1:8">
      <c r="A21" s="27">
        <v>45430</v>
      </c>
      <c r="B21" s="8">
        <f>IF(A21&lt;&gt;"",INDEX('[1]01-数据'!$C$2:$ND$2,MATCH(A21,'[1]01-数据'!$C$1:$ND$1))," ")</f>
        <v>247.93</v>
      </c>
      <c r="C21" s="8">
        <f>IF(A21&lt;&gt;"",INDEX('[1]01-数据'!$C$3:$ND$3,MATCH(A21,'[1]01-数据'!$C$1:$ND$1))," ")</f>
        <v>4235.28</v>
      </c>
      <c r="D21" s="14">
        <f>IF(A21&lt;&gt;"",INDEX('[1]01-数据'!$C$4:$ND$4,MATCH(A21,'[1]01-数据'!$C$1:$ND$1))," ")</f>
        <v>0.0696</v>
      </c>
      <c r="E21" s="8">
        <f>IF(A21&lt;&gt;"",INDEX('[1]01-数据'!$C$6:$ND$6,MATCH(A21,'[1]01-数据'!$C$1:$ND$1))," ")</f>
        <v>33929.4</v>
      </c>
      <c r="F21" s="14">
        <f>IF(A21&lt;&gt;"",INDEX('[1]01-数据'!$C$7:$ND$7,MATCH(A21,'[1]01-数据'!$C$1:$ND$1))," ")</f>
        <v>0.0885</v>
      </c>
      <c r="G21" s="8">
        <f>IF(A21&lt;&gt;"",INDEX('[1]01-数据'!$C$11:$ND$11,MATCH(A21,'[1]01-数据'!$C$1:$ND$1))," ")</f>
        <v>10.83</v>
      </c>
      <c r="H21" s="8">
        <f>IF(A21&lt;&gt;"",INDEX('[1]01-数据'!$C$14:$ND$14,MATCH(A21,'[1]01-数据'!$C$1:$ND$1))," ")</f>
        <v>8.64</v>
      </c>
    </row>
    <row r="22" spans="1:8">
      <c r="A22" s="27">
        <v>45431</v>
      </c>
      <c r="B22" s="8">
        <f>IF(A22&lt;&gt;"",INDEX('[1]01-数据'!$C$2:$ND$2,MATCH(A22,'[1]01-数据'!$C$1:$ND$1))," ")</f>
        <v>240.42</v>
      </c>
      <c r="C22" s="8">
        <f>IF(A22&lt;&gt;"",INDEX('[1]01-数据'!$C$3:$ND$3,MATCH(A22,'[1]01-数据'!$C$1:$ND$1))," ")</f>
        <v>4475.71</v>
      </c>
      <c r="D22" s="14">
        <f>IF(A22&lt;&gt;"",INDEX('[1]01-数据'!$C$4:$ND$4,MATCH(A22,'[1]01-数据'!$C$1:$ND$1))," ")</f>
        <v>0.0669</v>
      </c>
      <c r="E22" s="8">
        <f>IF(A22&lt;&gt;"",INDEX('[1]01-数据'!$C$6:$ND$6,MATCH(A22,'[1]01-数据'!$C$1:$ND$1))," ")</f>
        <v>34169.82</v>
      </c>
      <c r="F22" s="14">
        <f>IF(A22&lt;&gt;"",INDEX('[1]01-数据'!$C$7:$ND$7,MATCH(A22,'[1]01-数据'!$C$1:$ND$1))," ")</f>
        <v>0.088</v>
      </c>
      <c r="G22" s="8">
        <f>IF(A22&lt;&gt;"",INDEX('[1]01-数据'!$C$11:$ND$11,MATCH(A22,'[1]01-数据'!$C$1:$ND$1))," ")</f>
        <v>10.45</v>
      </c>
      <c r="H22" s="8">
        <f>IF(A22&lt;&gt;"",INDEX('[1]01-数据'!$C$14:$ND$14,MATCH(A22,'[1]01-数据'!$C$1:$ND$1))," ")</f>
        <v>8.56</v>
      </c>
    </row>
    <row r="23" spans="1:8">
      <c r="A23" s="28">
        <v>45432</v>
      </c>
      <c r="B23" s="11">
        <f>IF(A23&lt;&gt;"",INDEX('[1]01-数据'!$C$2:$ND$2,MATCH(A23,'[1]01-数据'!$C$1:$ND$1))," ")</f>
        <v>244.86</v>
      </c>
      <c r="C23" s="11">
        <f>IF(A23&lt;&gt;"",INDEX('[1]01-数据'!$C$3:$ND$3,MATCH(A23,'[1]01-数据'!$C$1:$ND$1))," ")</f>
        <v>4720.57</v>
      </c>
      <c r="D23" s="15">
        <f>IF(A23&lt;&gt;"",INDEX('[1]01-数据'!$C$4:$ND$4,MATCH(A23,'[1]01-数据'!$C$1:$ND$1))," ")</f>
        <v>0.0661</v>
      </c>
      <c r="E23" s="11">
        <f>IF(A23&lt;&gt;"",INDEX('[1]01-数据'!$C$6:$ND$6,MATCH(A23,'[1]01-数据'!$C$1:$ND$1))," ")</f>
        <v>34414.68</v>
      </c>
      <c r="F23" s="15">
        <f>IF(A23&lt;&gt;"",INDEX('[1]01-数据'!$C$7:$ND$7,MATCH(A23,'[1]01-数据'!$C$1:$ND$1))," ")</f>
        <v>0.0877</v>
      </c>
      <c r="G23" s="11">
        <f>IF(A23&lt;&gt;"",INDEX('[1]01-数据'!$C$11:$ND$11,MATCH(A23,'[1]01-数据'!$C$1:$ND$1))," ")</f>
        <v>10.84</v>
      </c>
      <c r="H23" s="11">
        <f>IF(A23&lt;&gt;"",INDEX('[1]01-数据'!$C$14:$ND$14,MATCH(A23,'[1]01-数据'!$C$1:$ND$1))," ")</f>
        <v>8.36</v>
      </c>
    </row>
    <row r="24" spans="1:8">
      <c r="A24" s="28">
        <v>45433</v>
      </c>
      <c r="B24" s="11">
        <f>IF(A24&lt;&gt;"",INDEX('[1]01-数据'!$C$2:$ND$2,MATCH(A24,'[1]01-数据'!$C$1:$ND$1))," ")</f>
        <v>247.49</v>
      </c>
      <c r="C24" s="11">
        <f>IF(A24&lt;&gt;"",INDEX('[1]01-数据'!$C$3:$ND$3,MATCH(A24,'[1]01-数据'!$C$1:$ND$1))," ")</f>
        <v>4968.06</v>
      </c>
      <c r="D24" s="15">
        <f>IF(A24&lt;&gt;"",INDEX('[1]01-数据'!$C$4:$ND$4,MATCH(A24,'[1]01-数据'!$C$1:$ND$1))," ")</f>
        <v>0.0676</v>
      </c>
      <c r="E24" s="11">
        <f>IF(A24&lt;&gt;"",INDEX('[1]01-数据'!$C$6:$ND$6,MATCH(A24,'[1]01-数据'!$C$1:$ND$1))," ")</f>
        <v>34662.17</v>
      </c>
      <c r="F24" s="15">
        <f>IF(A24&lt;&gt;"",INDEX('[1]01-数据'!$C$7:$ND$7,MATCH(A24,'[1]01-数据'!$C$1:$ND$1))," ")</f>
        <v>0.0878</v>
      </c>
      <c r="G24" s="11">
        <f>IF(A24&lt;&gt;"",INDEX('[1]01-数据'!$C$11:$ND$11,MATCH(A24,'[1]01-数据'!$C$1:$ND$1))," ")</f>
        <v>10.84</v>
      </c>
      <c r="H24" s="11">
        <f>IF(A24&lt;&gt;"",INDEX('[1]01-数据'!$C$14:$ND$14,MATCH(A24,'[1]01-数据'!$C$1:$ND$1))," ")</f>
        <v>8.55</v>
      </c>
    </row>
    <row r="25" spans="1:8">
      <c r="A25" s="28">
        <v>45434</v>
      </c>
      <c r="B25" s="11">
        <f>IF(A25&lt;&gt;"",INDEX('[1]01-数据'!$C$2:$ND$2,MATCH(A25,'[1]01-数据'!$C$1:$ND$1))," ")</f>
        <v>249.69</v>
      </c>
      <c r="C25" s="11">
        <f>IF(A25&lt;&gt;"",INDEX('[1]01-数据'!$C$3:$ND$3,MATCH(A25,'[1]01-数据'!$C$1:$ND$1))," ")</f>
        <v>5217.75</v>
      </c>
      <c r="D25" s="15">
        <f>IF(A25&lt;&gt;"",INDEX('[1]01-数据'!$C$4:$ND$4,MATCH(A25,'[1]01-数据'!$C$1:$ND$1))," ")</f>
        <v>0.0684</v>
      </c>
      <c r="E25" s="11">
        <f>IF(A25&lt;&gt;"",INDEX('[1]01-数据'!$C$6:$ND$6,MATCH(A25,'[1]01-数据'!$C$1:$ND$1))," ")</f>
        <v>34911.87</v>
      </c>
      <c r="F25" s="15">
        <f>IF(A25&lt;&gt;"",INDEX('[1]01-数据'!$C$7:$ND$7,MATCH(A25,'[1]01-数据'!$C$1:$ND$1))," ")</f>
        <v>0.0878</v>
      </c>
      <c r="G25" s="11">
        <f>IF(A25&lt;&gt;"",INDEX('[1]01-数据'!$C$11:$ND$11,MATCH(A25,'[1]01-数据'!$C$1:$ND$1))," ")</f>
        <v>10.9</v>
      </c>
      <c r="H25" s="11">
        <f>IF(A25&lt;&gt;"",INDEX('[1]01-数据'!$C$14:$ND$14,MATCH(A25,'[1]01-数据'!$C$1:$ND$1))," ")</f>
        <v>8.58</v>
      </c>
    </row>
    <row r="26" spans="1:8">
      <c r="A26" s="28">
        <v>45435</v>
      </c>
      <c r="B26" s="11">
        <f>IF(A26&lt;&gt;"",INDEX('[1]01-数据'!$C$2:$ND$2,MATCH(A26,'[1]01-数据'!$C$1:$ND$1))," ")</f>
        <v>253.63</v>
      </c>
      <c r="C26" s="11">
        <f>IF(A26&lt;&gt;"",INDEX('[1]01-数据'!$C$3:$ND$3,MATCH(A26,'[1]01-数据'!$C$1:$ND$1))," ")</f>
        <v>5471.38</v>
      </c>
      <c r="D26" s="15">
        <f>IF(A26&lt;&gt;"",INDEX('[1]01-数据'!$C$4:$ND$4,MATCH(A26,'[1]01-数据'!$C$1:$ND$1))," ")</f>
        <v>0.0703</v>
      </c>
      <c r="E26" s="11">
        <f>IF(A26&lt;&gt;"",INDEX('[1]01-数据'!$C$6:$ND$6,MATCH(A26,'[1]01-数据'!$C$1:$ND$1))," ")</f>
        <v>35165.5</v>
      </c>
      <c r="F26" s="15">
        <f>IF(A26&lt;&gt;"",INDEX('[1]01-数据'!$C$7:$ND$7,MATCH(A26,'[1]01-数据'!$C$1:$ND$1))," ")</f>
        <v>0.088</v>
      </c>
      <c r="G26" s="11">
        <f>IF(A26&lt;&gt;"",INDEX('[1]01-数据'!$C$11:$ND$11,MATCH(A26,'[1]01-数据'!$C$1:$ND$1))," ")</f>
        <v>11.15</v>
      </c>
      <c r="H26" s="11">
        <f>IF(A26&lt;&gt;"",INDEX('[1]01-数据'!$C$14:$ND$14,MATCH(A26,'[1]01-数据'!$C$1:$ND$1))," ")</f>
        <v>8.68</v>
      </c>
    </row>
    <row r="27" spans="1:8">
      <c r="A27" s="28">
        <v>45436</v>
      </c>
      <c r="B27" s="11">
        <f>IF(A27&lt;&gt;"",INDEX('[1]01-数据'!$C$2:$ND$2,MATCH(A27,'[1]01-数据'!$C$1:$ND$1))," ")</f>
        <v>255.27</v>
      </c>
      <c r="C27" s="11">
        <f>IF(A27&lt;&gt;"",INDEX('[1]01-数据'!$C$3:$ND$3,MATCH(A27,'[1]01-数据'!$C$1:$ND$1))," ")</f>
        <v>5726.65</v>
      </c>
      <c r="D27" s="15">
        <f>IF(A27&lt;&gt;"",INDEX('[1]01-数据'!$C$4:$ND$4,MATCH(A27,'[1]01-数据'!$C$1:$ND$1))," ")</f>
        <v>0.0727</v>
      </c>
      <c r="E27" s="11">
        <f>IF(A27&lt;&gt;"",INDEX('[1]01-数据'!$C$6:$ND$6,MATCH(A27,'[1]01-数据'!$C$1:$ND$1))," ")</f>
        <v>35420.76</v>
      </c>
      <c r="F27" s="15">
        <f>IF(A27&lt;&gt;"",INDEX('[1]01-数据'!$C$7:$ND$7,MATCH(A27,'[1]01-数据'!$C$1:$ND$1))," ")</f>
        <v>0.0882</v>
      </c>
      <c r="G27" s="11">
        <f>IF(A27&lt;&gt;"",INDEX('[1]01-数据'!$C$11:$ND$11,MATCH(A27,'[1]01-数据'!$C$1:$ND$1))," ")</f>
        <v>11.24</v>
      </c>
      <c r="H27" s="11">
        <f>IF(A27&lt;&gt;"",INDEX('[1]01-数据'!$C$14:$ND$14,MATCH(A27,'[1]01-数据'!$C$1:$ND$1))," ")</f>
        <v>8.77</v>
      </c>
    </row>
    <row r="28" spans="1:8">
      <c r="A28" s="27">
        <v>45437</v>
      </c>
      <c r="B28" s="8">
        <f>IF(A28&lt;&gt;"",INDEX('[1]01-数据'!$C$2:$ND$2,MATCH(A28,'[1]01-数据'!$C$1:$ND$1))," ")</f>
        <v>252.36</v>
      </c>
      <c r="C28" s="8">
        <f>IF(A28&lt;&gt;"",INDEX('[1]01-数据'!$C$3:$ND$3,MATCH(A28,'[1]01-数据'!$C$1:$ND$1))," ")</f>
        <v>5979</v>
      </c>
      <c r="D28" s="14">
        <f>IF(A28&lt;&gt;"",INDEX('[1]01-数据'!$C$4:$ND$4,MATCH(A28,'[1]01-数据'!$C$1:$ND$1))," ")</f>
        <v>0.0741</v>
      </c>
      <c r="E28" s="8">
        <f>IF(A28&lt;&gt;"",INDEX('[1]01-数据'!$C$6:$ND$6,MATCH(A28,'[1]01-数据'!$C$1:$ND$1))," ")</f>
        <v>35673.12</v>
      </c>
      <c r="F28" s="14">
        <f>IF(A28&lt;&gt;"",INDEX('[1]01-数据'!$C$7:$ND$7,MATCH(A28,'[1]01-数据'!$C$1:$ND$1))," ")</f>
        <v>0.0883</v>
      </c>
      <c r="G28" s="8">
        <f>IF(A28&lt;&gt;"",INDEX('[1]01-数据'!$C$11:$ND$11,MATCH(A28,'[1]01-数据'!$C$1:$ND$1))," ")</f>
        <v>11.02</v>
      </c>
      <c r="H28" s="8">
        <f>IF(A28&lt;&gt;"",INDEX('[1]01-数据'!$C$14:$ND$14,MATCH(A28,'[1]01-数据'!$C$1:$ND$1))," ")</f>
        <v>8.89</v>
      </c>
    </row>
    <row r="29" spans="1:8">
      <c r="A29" s="27">
        <v>45438</v>
      </c>
      <c r="B29" s="8">
        <f>IF(A29&lt;&gt;"",INDEX('[1]01-数据'!$C$2:$ND$2,MATCH(A29,'[1]01-数据'!$C$1:$ND$1))," ")</f>
        <v>247.46</v>
      </c>
      <c r="C29" s="8">
        <f>IF(A29&lt;&gt;"",INDEX('[1]01-数据'!$C$3:$ND$3,MATCH(A29,'[1]01-数据'!$C$1:$ND$1))," ")</f>
        <v>6226.46</v>
      </c>
      <c r="D29" s="14">
        <f>IF(A29&lt;&gt;"",INDEX('[1]01-数据'!$C$4:$ND$4,MATCH(A29,'[1]01-数据'!$C$1:$ND$1))," ")</f>
        <v>0.0737</v>
      </c>
      <c r="E29" s="8">
        <f>IF(A29&lt;&gt;"",INDEX('[1]01-数据'!$C$6:$ND$6,MATCH(A29,'[1]01-数据'!$C$1:$ND$1))," ")</f>
        <v>35920.58</v>
      </c>
      <c r="F29" s="14">
        <f>IF(A29&lt;&gt;"",INDEX('[1]01-数据'!$C$7:$ND$7,MATCH(A29,'[1]01-数据'!$C$1:$ND$1))," ")</f>
        <v>0.0882</v>
      </c>
      <c r="G29" s="8">
        <f>IF(A29&lt;&gt;"",INDEX('[1]01-数据'!$C$11:$ND$11,MATCH(A29,'[1]01-数据'!$C$1:$ND$1))," ")</f>
        <v>10.65</v>
      </c>
      <c r="H29" s="8">
        <f>IF(A29&lt;&gt;"",INDEX('[1]01-数据'!$C$14:$ND$14,MATCH(A29,'[1]01-数据'!$C$1:$ND$1))," ")</f>
        <v>8.71</v>
      </c>
    </row>
    <row r="30" spans="1:8">
      <c r="A30" s="28">
        <v>45439</v>
      </c>
      <c r="B30" s="11">
        <f>IF(A30&lt;&gt;"",INDEX('[1]01-数据'!$C$2:$ND$2,MATCH(A30,'[1]01-数据'!$C$1:$ND$1))," ")</f>
        <v>249.91</v>
      </c>
      <c r="C30" s="11">
        <f>IF(A30&lt;&gt;"",INDEX('[1]01-数据'!$C$3:$ND$3,MATCH(A30,'[1]01-数据'!$C$1:$ND$1))," ")</f>
        <v>6476.37</v>
      </c>
      <c r="D30" s="15">
        <f>IF(A30&lt;&gt;"",INDEX('[1]01-数据'!$C$4:$ND$4,MATCH(A30,'[1]01-数据'!$C$1:$ND$1))," ")</f>
        <v>0.0739</v>
      </c>
      <c r="E30" s="11">
        <f>IF(A30&lt;&gt;"",INDEX('[1]01-数据'!$C$6:$ND$6,MATCH(A30,'[1]01-数据'!$C$1:$ND$1))," ")</f>
        <v>36170.49</v>
      </c>
      <c r="F30" s="15">
        <f>IF(A30&lt;&gt;"",INDEX('[1]01-数据'!$C$7:$ND$7,MATCH(A30,'[1]01-数据'!$C$1:$ND$1))," ")</f>
        <v>0.0881</v>
      </c>
      <c r="G30" s="11">
        <f>IF(A30&lt;&gt;"",INDEX('[1]01-数据'!$C$11:$ND$11,MATCH(A30,'[1]01-数据'!$C$1:$ND$1))," ")</f>
        <v>11.03</v>
      </c>
      <c r="H30" s="11">
        <f>IF(A30&lt;&gt;"",INDEX('[1]01-数据'!$C$14:$ND$14,MATCH(A30,'[1]01-数据'!$C$1:$ND$1))," ")</f>
        <v>8.6</v>
      </c>
    </row>
    <row r="31" spans="1:8">
      <c r="A31" s="28">
        <v>45440</v>
      </c>
      <c r="B31" s="11">
        <f>IF(A31&lt;&gt;"",INDEX('[1]01-数据'!$C$2:$ND$2,MATCH(A31,'[1]01-数据'!$C$1:$ND$1))," ")</f>
        <v>248.23</v>
      </c>
      <c r="C31" s="11">
        <f>IF(A31&lt;&gt;"",INDEX('[1]01-数据'!$C$3:$ND$3,MATCH(A31,'[1]01-数据'!$C$1:$ND$1))," ")</f>
        <v>6724.6</v>
      </c>
      <c r="D31" s="15">
        <f>IF(A31&lt;&gt;"",INDEX('[1]01-数据'!$C$4:$ND$4,MATCH(A31,'[1]01-数据'!$C$1:$ND$1))," ")</f>
        <v>0.074</v>
      </c>
      <c r="E31" s="11">
        <f>IF(A31&lt;&gt;"",INDEX('[1]01-数据'!$C$6:$ND$6,MATCH(A31,'[1]01-数据'!$C$1:$ND$1))," ")</f>
        <v>36418.71</v>
      </c>
      <c r="F31" s="15">
        <f>IF(A31&lt;&gt;"",INDEX('[1]01-数据'!$C$7:$ND$7,MATCH(A31,'[1]01-数据'!$C$1:$ND$1))," ")</f>
        <v>0.088</v>
      </c>
      <c r="G31" s="11">
        <f>IF(A31&lt;&gt;"",INDEX('[1]01-数据'!$C$11:$ND$11,MATCH(A31,'[1]01-数据'!$C$1:$ND$1))," ")</f>
        <v>10.86</v>
      </c>
      <c r="H31" s="11">
        <f>IF(A31&lt;&gt;"",INDEX('[1]01-数据'!$C$14:$ND$14,MATCH(A31,'[1]01-数据'!$C$1:$ND$1))," ")</f>
        <v>8.65</v>
      </c>
    </row>
    <row r="32" spans="1:8">
      <c r="A32" s="28">
        <v>45441</v>
      </c>
      <c r="B32" s="11">
        <f>IF(A32&lt;&gt;"",INDEX('[1]01-数据'!$C$2:$ND$2,MATCH(A32,'[1]01-数据'!$C$1:$ND$1))," ")</f>
        <v>246.34</v>
      </c>
      <c r="C32" s="11">
        <f>IF(A32&lt;&gt;"",INDEX('[1]01-数据'!$C$3:$ND$3,MATCH(A32,'[1]01-数据'!$C$1:$ND$1))," ")</f>
        <v>6970.94</v>
      </c>
      <c r="D32" s="15">
        <f>IF(A32&lt;&gt;"",INDEX('[1]01-数据'!$C$4:$ND$4,MATCH(A32,'[1]01-数据'!$C$1:$ND$1))," ")</f>
        <v>0.0721</v>
      </c>
      <c r="E32" s="11">
        <f>IF(A32&lt;&gt;"",INDEX('[1]01-数据'!$C$6:$ND$6,MATCH(A32,'[1]01-数据'!$C$1:$ND$1))," ")</f>
        <v>36665.05</v>
      </c>
      <c r="F32" s="15">
        <f>IF(A32&lt;&gt;"",INDEX('[1]01-数据'!$C$7:$ND$7,MATCH(A32,'[1]01-数据'!$C$1:$ND$1))," ")</f>
        <v>0.0876</v>
      </c>
      <c r="G32" s="11">
        <f>IF(A32&lt;&gt;"",INDEX('[1]01-数据'!$C$11:$ND$11,MATCH(A32,'[1]01-数据'!$C$1:$ND$1))," ")</f>
        <v>10.79</v>
      </c>
      <c r="H32" s="11">
        <f>IF(A32&lt;&gt;"",INDEX('[1]01-数据'!$C$14:$ND$14,MATCH(A32,'[1]01-数据'!$C$1:$ND$1))," ")</f>
        <v>8.6</v>
      </c>
    </row>
    <row r="33" spans="1:8">
      <c r="A33" s="28">
        <v>45442</v>
      </c>
      <c r="B33" s="11">
        <f>IF(A33&lt;&gt;"",INDEX('[1]01-数据'!$C$2:$ND$2,MATCH(A33,'[1]01-数据'!$C$1:$ND$1))," ")</f>
        <v>246.21</v>
      </c>
      <c r="C33" s="11">
        <f>IF(A33&lt;&gt;"",INDEX('[1]01-数据'!$C$3:$ND$3,MATCH(A33,'[1]01-数据'!$C$1:$ND$1))," ")</f>
        <v>7217.14</v>
      </c>
      <c r="D33" s="15">
        <f>IF(A33&lt;&gt;"",INDEX('[1]01-数据'!$C$4:$ND$4,MATCH(A33,'[1]01-数据'!$C$1:$ND$1))," ")</f>
        <v>0.0696</v>
      </c>
      <c r="E33" s="11">
        <f>IF(A33&lt;&gt;"",INDEX('[1]01-数据'!$C$6:$ND$6,MATCH(A33,'[1]01-数据'!$C$1:$ND$1))," ")</f>
        <v>36911.26</v>
      </c>
      <c r="F33" s="15">
        <f>IF(A33&lt;&gt;"",INDEX('[1]01-数据'!$C$7:$ND$7,MATCH(A33,'[1]01-数据'!$C$1:$ND$1))," ")</f>
        <v>0.087</v>
      </c>
      <c r="G33" s="11">
        <f>IF(A33&lt;&gt;"",INDEX('[1]01-数据'!$C$11:$ND$11,MATCH(A33,'[1]01-数据'!$C$1:$ND$1))," ")</f>
        <v>10.84</v>
      </c>
      <c r="H33" s="11">
        <f>IF(A33&lt;&gt;"",INDEX('[1]01-数据'!$C$14:$ND$14,MATCH(A33,'[1]01-数据'!$C$1:$ND$1))," ")</f>
        <v>8.57</v>
      </c>
    </row>
    <row r="34" spans="1:8">
      <c r="A34" s="28">
        <v>45443</v>
      </c>
      <c r="B34" s="11">
        <f>IF(A34&lt;&gt;"",INDEX('[1]01-数据'!$C$2:$ND$2,MATCH(A34,'[1]01-数据'!$C$1:$ND$1))," ")</f>
        <v>248.01</v>
      </c>
      <c r="C34" s="11">
        <f>IF(A34&lt;&gt;"",INDEX('[1]01-数据'!$C$3:$ND$3,MATCH(A34,'[1]01-数据'!$C$1:$ND$1))," ")</f>
        <v>7465.16</v>
      </c>
      <c r="D34" s="15">
        <f>IF(A34&lt;&gt;"",INDEX('[1]01-数据'!$C$4:$ND$4,MATCH(A34,'[1]01-数据'!$C$1:$ND$1))," ")</f>
        <v>0.0675</v>
      </c>
      <c r="E34" s="11">
        <f>IF(A34&lt;&gt;"",INDEX('[1]01-数据'!$C$6:$ND$6,MATCH(A34,'[1]01-数据'!$C$1:$ND$1))," ")</f>
        <v>37159.27</v>
      </c>
      <c r="F34" s="15">
        <f>IF(A34&lt;&gt;"",INDEX('[1]01-数据'!$C$7:$ND$7,MATCH(A34,'[1]01-数据'!$C$1:$ND$1))," ")</f>
        <v>0.0864</v>
      </c>
      <c r="G34" s="11">
        <f>IF(A34&lt;&gt;"",INDEX('[1]01-数据'!$C$11:$ND$11,MATCH(A34,'[1]01-数据'!$C$1:$ND$1))," ")</f>
        <v>10.86</v>
      </c>
      <c r="H34" s="11">
        <f>IF(A34&lt;&gt;"",INDEX('[1]01-数据'!$C$14:$ND$14,MATCH(A34,'[1]01-数据'!$C$1:$ND$1))," ")</f>
        <v>8.58</v>
      </c>
    </row>
    <row r="35" spans="1:8">
      <c r="A35" s="13" t="s">
        <v>11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L34"/>
  <sheetViews>
    <sheetView zoomScale="145" zoomScaleNormal="145" topLeftCell="A21" workbookViewId="0">
      <selection activeCell="E33" sqref="C33 E33"/>
    </sheetView>
  </sheetViews>
  <sheetFormatPr defaultColWidth="9" defaultRowHeight="14.25"/>
  <cols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9" max="9" width="12.625"/>
    <col min="11" max="11" width="9.33333333333333"/>
    <col min="12" max="12" width="12.625"/>
  </cols>
  <sheetData>
    <row r="1" ht="18.75" spans="1:8">
      <c r="A1" s="3" t="s">
        <v>19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2" customFormat="1" spans="1:8">
      <c r="A4" s="27">
        <v>45444</v>
      </c>
      <c r="B4" s="8">
        <f>IF(A4&lt;&gt;"",INDEX('[1]01-数据'!$C$2:$ND$2,MATCH(A4,'[1]01-数据'!$C$1:$ND$1))," ")</f>
        <v>241.68</v>
      </c>
      <c r="C4" s="8">
        <f>IF(A4&lt;&gt;"",INDEX('[1]01-数据'!$C$3:$ND$3,MATCH(A4,'[1]01-数据'!$C$1:$ND$1))," ")</f>
        <v>241.68</v>
      </c>
      <c r="D4" s="9">
        <f>IF(A4&lt;&gt;"",INDEX('[1]01-数据'!$C$4:$ND$4,MATCH(A4,'[1]01-数据'!$C$1:$ND$1))," ")</f>
        <v>-0.0029</v>
      </c>
      <c r="E4" s="8">
        <f>IF(A4&lt;&gt;"",INDEX('[1]01-数据'!$C$6:$ND$6,MATCH(A4,'[1]01-数据'!$C$1:$ND$1))," ")</f>
        <v>37400.96</v>
      </c>
      <c r="F4" s="14">
        <f>IF(A4&lt;&gt;"",INDEX('[1]01-数据'!$C$7:$ND$7,MATCH(A4,'[1]01-数据'!$C$1:$ND$1))," ")</f>
        <v>0.0858</v>
      </c>
      <c r="G4" s="8">
        <f>IF(A4&lt;&gt;"",INDEX('[1]01-数据'!$C$11:$ND$11,MATCH(A4,'[1]01-数据'!$C$1:$ND$1))," ")</f>
        <v>10.53</v>
      </c>
      <c r="H4" s="8">
        <f>IF(A4&lt;&gt;"",INDEX('[1]01-数据'!$C$14:$ND$14,MATCH(A4,'[1]01-数据'!$C$1:$ND$1))," ")</f>
        <v>8.55</v>
      </c>
    </row>
    <row r="5" s="2" customFormat="1" spans="1:8">
      <c r="A5" s="27">
        <v>45445</v>
      </c>
      <c r="B5" s="8">
        <f>IF(A5&lt;&gt;"",INDEX('[1]01-数据'!$C$2:$ND$2,MATCH(A5,'[1]01-数据'!$C$1:$ND$1))," ")</f>
        <v>238.89</v>
      </c>
      <c r="C5" s="8">
        <f>IF(A5&lt;&gt;"",INDEX('[1]01-数据'!$C$3:$ND$3,MATCH(A5,'[1]01-数据'!$C$1:$ND$1))," ")</f>
        <v>480.58</v>
      </c>
      <c r="D5" s="14">
        <f>IF(A5&lt;&gt;"",INDEX('[1]01-数据'!$C$4:$ND$4,MATCH(A5,'[1]01-数据'!$C$1:$ND$1))," ")</f>
        <v>-0.0152</v>
      </c>
      <c r="E5" s="8">
        <f>IF(A5&lt;&gt;"",INDEX('[1]01-数据'!$C$6:$ND$6,MATCH(A5,'[1]01-数据'!$C$1:$ND$1))," ")</f>
        <v>37639.85</v>
      </c>
      <c r="F5" s="14">
        <f>IF(A5&lt;&gt;"",INDEX('[1]01-数据'!$C$7:$ND$7,MATCH(A5,'[1]01-数据'!$C$1:$ND$1))," ")</f>
        <v>0.085</v>
      </c>
      <c r="G5" s="8">
        <f>IF(A5&lt;&gt;"",INDEX('[1]01-数据'!$C$11:$ND$11,MATCH(A5,'[1]01-数据'!$C$1:$ND$1))," ")</f>
        <v>10.27</v>
      </c>
      <c r="H5" s="8">
        <f>IF(A5&lt;&gt;"",INDEX('[1]01-数据'!$C$14:$ND$14,MATCH(A5,'[1]01-数据'!$C$1:$ND$1))," ")</f>
        <v>8.47</v>
      </c>
    </row>
    <row r="6" s="2" customFormat="1" spans="1:8">
      <c r="A6" s="28">
        <v>45446</v>
      </c>
      <c r="B6" s="11">
        <f>IF(A6&lt;&gt;"",INDEX('[1]01-数据'!$C$2:$ND$2,MATCH(A6,'[1]01-数据'!$C$1:$ND$1))," ")</f>
        <v>248.46</v>
      </c>
      <c r="C6" s="11">
        <f>IF(A6&lt;&gt;"",INDEX('[1]01-数据'!$C$3:$ND$3,MATCH(A6,'[1]01-数据'!$C$1:$ND$1))," ")</f>
        <v>729.04</v>
      </c>
      <c r="D6" s="15">
        <f>IF(A6&lt;&gt;"",INDEX('[1]01-数据'!$C$4:$ND$4,MATCH(A6,'[1]01-数据'!$C$1:$ND$1))," ")</f>
        <v>0</v>
      </c>
      <c r="E6" s="11">
        <f>IF(A6&lt;&gt;"",INDEX('[1]01-数据'!$C$6:$ND$6,MATCH(A6,'[1]01-数据'!$C$1:$ND$1))," ")</f>
        <v>37888.31</v>
      </c>
      <c r="F6" s="15">
        <f>IF(A6&lt;&gt;"",INDEX('[1]01-数据'!$C$7:$ND$7,MATCH(A6,'[1]01-数据'!$C$1:$ND$1))," ")</f>
        <v>0.0846</v>
      </c>
      <c r="G6" s="11">
        <f>IF(A6&lt;&gt;"",INDEX('[1]01-数据'!$C$11:$ND$11,MATCH(A6,'[1]01-数据'!$C$1:$ND$1))," ")</f>
        <v>10.97</v>
      </c>
      <c r="H6" s="11">
        <f>IF(A6&lt;&gt;"",INDEX('[1]01-数据'!$C$14:$ND$14,MATCH(A6,'[1]01-数据'!$C$1:$ND$1))," ")</f>
        <v>8.47</v>
      </c>
    </row>
    <row r="7" s="2" customFormat="1" spans="1:9">
      <c r="A7" s="28">
        <v>45447</v>
      </c>
      <c r="B7" s="11">
        <f>IF(A7&lt;&gt;"",INDEX('[1]01-数据'!$C$2:$ND$2,MATCH(A7,'[1]01-数据'!$C$1:$ND$1))," ")</f>
        <v>249.13</v>
      </c>
      <c r="C7" s="11">
        <f>IF(A7&lt;&gt;"",INDEX('[1]01-数据'!$C$3:$ND$3,MATCH(A7,'[1]01-数据'!$C$1:$ND$1))," ")</f>
        <v>978.17</v>
      </c>
      <c r="D7" s="15">
        <f>IF(A7&lt;&gt;"",INDEX('[1]01-数据'!$C$4:$ND$4,MATCH(A7,'[1]01-数据'!$C$1:$ND$1))," ")</f>
        <v>0.0169</v>
      </c>
      <c r="E7" s="11">
        <f>IF(A7&lt;&gt;"",INDEX('[1]01-数据'!$C$6:$ND$6,MATCH(A7,'[1]01-数据'!$C$1:$ND$1))," ")</f>
        <v>38137.44</v>
      </c>
      <c r="F7" s="15">
        <f>IF(A7&lt;&gt;"",INDEX('[1]01-数据'!$C$7:$ND$7,MATCH(A7,'[1]01-数据'!$C$1:$ND$1))," ")</f>
        <v>0.0845</v>
      </c>
      <c r="G7" s="11">
        <f>IF(A7&lt;&gt;"",INDEX('[1]01-数据'!$C$11:$ND$11,MATCH(A7,'[1]01-数据'!$C$1:$ND$1))," ")</f>
        <v>10.98</v>
      </c>
      <c r="H7" s="11">
        <f>IF(A7&lt;&gt;"",INDEX('[1]01-数据'!$C$14:$ND$14,MATCH(A7,'[1]01-数据'!$C$1:$ND$1))," ")</f>
        <v>8.69</v>
      </c>
      <c r="I7" s="2">
        <f>B24/G24*13</f>
        <v>295.926888708367</v>
      </c>
    </row>
    <row r="8" s="2" customFormat="1" spans="1:9">
      <c r="A8" s="28">
        <v>45448</v>
      </c>
      <c r="B8" s="11">
        <f>IF(A8&lt;&gt;"",INDEX('[1]01-数据'!$C$2:$ND$2,MATCH(A8,'[1]01-数据'!$C$1:$ND$1))," ")</f>
        <v>247.94</v>
      </c>
      <c r="C8" s="11">
        <f>IF(A8&lt;&gt;"",INDEX('[1]01-数据'!$C$3:$ND$3,MATCH(A8,'[1]01-数据'!$C$1:$ND$1))," ")</f>
        <v>1226.11</v>
      </c>
      <c r="D8" s="12">
        <f>IF(A8&lt;&gt;"",INDEX('[1]01-数据'!$C$4:$ND$4,MATCH(A8,'[1]01-数据'!$C$1:$ND$1))," ")</f>
        <v>0.0209</v>
      </c>
      <c r="E8" s="11">
        <f>IF(A8&lt;&gt;"",INDEX('[1]01-数据'!$C$6:$ND$6,MATCH(A8,'[1]01-数据'!$C$1:$ND$1))," ")</f>
        <v>38385.38</v>
      </c>
      <c r="F8" s="15">
        <f>IF(A8&lt;&gt;"",INDEX('[1]01-数据'!$C$7:$ND$7,MATCH(A8,'[1]01-数据'!$C$1:$ND$1))," ")</f>
        <v>0.0842</v>
      </c>
      <c r="G8" s="11">
        <f>IF(A8&lt;&gt;"",INDEX('[1]01-数据'!$C$11:$ND$11,MATCH(A8,'[1]01-数据'!$C$1:$ND$1))," ")</f>
        <v>10.9</v>
      </c>
      <c r="H8" s="11">
        <f>IF(A8&lt;&gt;"",INDEX('[1]01-数据'!$C$14:$ND$14,MATCH(A8,'[1]01-数据'!$C$1:$ND$1))," ")</f>
        <v>8.66</v>
      </c>
      <c r="I8" s="2">
        <f>B24/G24*14</f>
        <v>318.690495532088</v>
      </c>
    </row>
    <row r="9" s="2" customFormat="1" spans="1:8">
      <c r="A9" s="28">
        <v>45449</v>
      </c>
      <c r="B9" s="11">
        <f>IF(A9&lt;&gt;"",INDEX('[1]01-数据'!$C$2:$ND$2,MATCH(A9,'[1]01-数据'!$C$1:$ND$1))," ")</f>
        <v>248.9</v>
      </c>
      <c r="C9" s="11">
        <f>IF(A9&lt;&gt;"",INDEX('[1]01-数据'!$C$3:$ND$3,MATCH(A9,'[1]01-数据'!$C$1:$ND$1))," ")</f>
        <v>1475.01</v>
      </c>
      <c r="D9" s="12">
        <f>IF(A9&lt;&gt;"",INDEX('[1]01-数据'!$C$4:$ND$4,MATCH(A9,'[1]01-数据'!$C$1:$ND$1))," ")</f>
        <v>0.0234</v>
      </c>
      <c r="E9" s="11">
        <f>IF(A9&lt;&gt;"",INDEX('[1]01-数据'!$C$6:$ND$6,MATCH(A9,'[1]01-数据'!$C$1:$ND$1))," ")</f>
        <v>38634.28</v>
      </c>
      <c r="F9" s="15">
        <f>IF(A9&lt;&gt;"",INDEX('[1]01-数据'!$C$7:$ND$7,MATCH(A9,'[1]01-数据'!$C$1:$ND$1))," ")</f>
        <v>0.0839</v>
      </c>
      <c r="G9" s="11">
        <f>IF(A9&lt;&gt;"",INDEX('[1]01-数据'!$C$11:$ND$11,MATCH(A9,'[1]01-数据'!$C$1:$ND$1))," ")</f>
        <v>10.92</v>
      </c>
      <c r="H9" s="11">
        <f>IF(A9&lt;&gt;"",INDEX('[1]01-数据'!$C$14:$ND$14,MATCH(A9,'[1]01-数据'!$C$1:$ND$1))," ")</f>
        <v>8.63</v>
      </c>
    </row>
    <row r="10" s="2" customFormat="1" spans="1:8">
      <c r="A10" s="28">
        <v>45450</v>
      </c>
      <c r="B10" s="11">
        <f>IF(A10&lt;&gt;"",INDEX('[1]01-数据'!$C$2:$ND$2,MATCH(A10,'[1]01-数据'!$C$1:$ND$1))," ")</f>
        <v>249.09</v>
      </c>
      <c r="C10" s="11">
        <f>IF(A10&lt;&gt;"",INDEX('[1]01-数据'!$C$3:$ND$3,MATCH(A10,'[1]01-数据'!$C$1:$ND$1))," ")</f>
        <v>1724.1</v>
      </c>
      <c r="D10" s="12">
        <f>IF(A10&lt;&gt;"",INDEX('[1]01-数据'!$C$4:$ND$4,MATCH(A10,'[1]01-数据'!$C$1:$ND$1))," ")</f>
        <v>0.0243</v>
      </c>
      <c r="E10" s="11">
        <f>IF(A10&lt;&gt;"",INDEX('[1]01-数据'!$C$6:$ND$6,MATCH(A10,'[1]01-数据'!$C$1:$ND$1))," ")</f>
        <v>38883.37</v>
      </c>
      <c r="F10" s="15">
        <f>IF(A10&lt;&gt;"",INDEX('[1]01-数据'!$C$7:$ND$7,MATCH(A10,'[1]01-数据'!$C$1:$ND$1))," ")</f>
        <v>0.0835</v>
      </c>
      <c r="G10" s="11">
        <f>IF(A10&lt;&gt;"",INDEX('[1]01-数据'!$C$11:$ND$11,MATCH(A10,'[1]01-数据'!$C$1:$ND$1))," ")</f>
        <v>10.93</v>
      </c>
      <c r="H10" s="11">
        <f>IF(A10&lt;&gt;"",INDEX('[1]01-数据'!$C$14:$ND$14,MATCH(A10,'[1]01-数据'!$C$1:$ND$1))," ")</f>
        <v>8.66</v>
      </c>
    </row>
    <row r="11" s="2" customFormat="1" spans="1:8">
      <c r="A11" s="27">
        <v>45451</v>
      </c>
      <c r="B11" s="8">
        <f>IF(A11&lt;&gt;"",INDEX('[1]01-数据'!$C$2:$ND$2,MATCH(A11,'[1]01-数据'!$C$1:$ND$1))," ")</f>
        <v>247.94</v>
      </c>
      <c r="C11" s="8">
        <f>IF(A11&lt;&gt;"",INDEX('[1]01-数据'!$C$3:$ND$3,MATCH(A11,'[1]01-数据'!$C$1:$ND$1))," ")</f>
        <v>1972.04</v>
      </c>
      <c r="D11" s="9">
        <f>IF(A11&lt;&gt;"",INDEX('[1]01-数据'!$C$4:$ND$4,MATCH(A11,'[1]01-数据'!$C$1:$ND$1))," ")</f>
        <v>0.0232</v>
      </c>
      <c r="E11" s="8">
        <f>IF(A11&lt;&gt;"",INDEX('[1]01-数据'!$C$6:$ND$6,MATCH(A11,'[1]01-数据'!$C$1:$ND$1))," ")</f>
        <v>39131.31</v>
      </c>
      <c r="F11" s="14">
        <f>IF(A11&lt;&gt;"",INDEX('[1]01-数据'!$C$7:$ND$7,MATCH(A11,'[1]01-数据'!$C$1:$ND$1))," ")</f>
        <v>0.083</v>
      </c>
      <c r="G11" s="8">
        <f>IF(A11&lt;&gt;"",INDEX('[1]01-数据'!$C$11:$ND$11,MATCH(A11,'[1]01-数据'!$C$1:$ND$1))," ")</f>
        <v>10.8</v>
      </c>
      <c r="H11" s="8">
        <f>IF(A11&lt;&gt;"",INDEX('[1]01-数据'!$C$14:$ND$14,MATCH(A11,'[1]01-数据'!$C$1:$ND$1))," ")</f>
        <v>8.72</v>
      </c>
    </row>
    <row r="12" s="2" customFormat="1" spans="1:8">
      <c r="A12" s="27">
        <v>45452</v>
      </c>
      <c r="B12" s="8">
        <f>IF(A12&lt;&gt;"",INDEX('[1]01-数据'!$C$2:$ND$2,MATCH(A12,'[1]01-数据'!$C$1:$ND$1))," ")</f>
        <v>242.44</v>
      </c>
      <c r="C12" s="8">
        <f>IF(A12&lt;&gt;"",INDEX('[1]01-数据'!$C$3:$ND$3,MATCH(A12,'[1]01-数据'!$C$1:$ND$1))," ")</f>
        <v>2214.48</v>
      </c>
      <c r="D12" s="9">
        <f>IF(A12&lt;&gt;"",INDEX('[1]01-数据'!$C$4:$ND$4,MATCH(A12,'[1]01-数据'!$C$1:$ND$1))," ")</f>
        <v>0.0176</v>
      </c>
      <c r="E12" s="8">
        <f>IF(A12&lt;&gt;"",INDEX('[1]01-数据'!$C$6:$ND$6,MATCH(A12,'[1]01-数据'!$C$1:$ND$1))," ")</f>
        <v>39373.75</v>
      </c>
      <c r="F12" s="14">
        <f>IF(A12&lt;&gt;"",INDEX('[1]01-数据'!$C$7:$ND$7,MATCH(A12,'[1]01-数据'!$C$1:$ND$1))," ")</f>
        <v>0.0823</v>
      </c>
      <c r="G12" s="8">
        <f>IF(A12&lt;&gt;"",INDEX('[1]01-数据'!$C$11:$ND$11,MATCH(A12,'[1]01-数据'!$C$1:$ND$1))," ")</f>
        <v>10.5</v>
      </c>
      <c r="H12" s="8">
        <f>IF(A12&lt;&gt;"",INDEX('[1]01-数据'!$C$14:$ND$14,MATCH(A12,'[1]01-数据'!$C$1:$ND$1))," ")</f>
        <v>8.64</v>
      </c>
    </row>
    <row r="13" s="2" customFormat="1" spans="1:11">
      <c r="A13" s="28">
        <v>45453</v>
      </c>
      <c r="B13" s="11">
        <f>IF(A13&lt;&gt;"",INDEX('[1]01-数据'!$C$2:$ND$2,MATCH(A13,'[1]01-数据'!$C$1:$ND$1))," ")</f>
        <v>232.22</v>
      </c>
      <c r="C13" s="11">
        <f>IF(A13&lt;&gt;"",INDEX('[1]01-数据'!$C$3:$ND$3,MATCH(A13,'[1]01-数据'!$C$1:$ND$1))," ")</f>
        <v>2446.7</v>
      </c>
      <c r="D13" s="15">
        <f>IF(A13&lt;&gt;"",INDEX('[1]01-数据'!$C$4:$ND$4,MATCH(A13,'[1]01-数据'!$C$1:$ND$1))," ")</f>
        <v>0.0091</v>
      </c>
      <c r="E13" s="11">
        <f>IF(A13&lt;&gt;"",INDEX('[1]01-数据'!$C$6:$ND$6,MATCH(A13,'[1]01-数据'!$C$1:$ND$1))," ")</f>
        <v>39605.97</v>
      </c>
      <c r="F13" s="15">
        <f>IF(A13&lt;&gt;"",INDEX('[1]01-数据'!$C$7:$ND$7,MATCH(A13,'[1]01-数据'!$C$1:$ND$1))," ")</f>
        <v>0.0813</v>
      </c>
      <c r="G13" s="11">
        <f>IF(A13&lt;&gt;"",INDEX('[1]01-数据'!$C$11:$ND$11,MATCH(A13,'[1]01-数据'!$C$1:$ND$1))," ")</f>
        <v>10.07</v>
      </c>
      <c r="H13" s="11">
        <f>IF(A13&lt;&gt;"",INDEX('[1]01-数据'!$C$14:$ND$14,MATCH(A13,'[1]01-数据'!$C$1:$ND$1))," ")</f>
        <v>8.36</v>
      </c>
      <c r="K13" s="29"/>
    </row>
    <row r="14" s="2" customFormat="1" spans="1:11">
      <c r="A14" s="28">
        <v>45454</v>
      </c>
      <c r="B14" s="11">
        <f>IF(A14&lt;&gt;"",INDEX('[1]01-数据'!$C$2:$ND$2,MATCH(A14,'[1]01-数据'!$C$1:$ND$1))," ")</f>
        <v>256.33</v>
      </c>
      <c r="C14" s="11">
        <f>IF(A14&lt;&gt;"",INDEX('[1]01-数据'!$C$3:$ND$3,MATCH(A14,'[1]01-数据'!$C$1:$ND$1))," ")</f>
        <v>2703.02</v>
      </c>
      <c r="D14" s="15">
        <f>IF(A14&lt;&gt;"",INDEX('[1]01-数据'!$C$4:$ND$4,MATCH(A14,'[1]01-数据'!$C$1:$ND$1))," ")</f>
        <v>0.0135</v>
      </c>
      <c r="E14" s="11">
        <f>IF(A14&lt;&gt;"",INDEX('[1]01-数据'!$C$6:$ND$6,MATCH(A14,'[1]01-数据'!$C$1:$ND$1))," ")</f>
        <v>39862.3</v>
      </c>
      <c r="F14" s="15">
        <f>IF(A14&lt;&gt;"",INDEX('[1]01-数据'!$C$7:$ND$7,MATCH(A14,'[1]01-数据'!$C$1:$ND$1))," ")</f>
        <v>0.0811</v>
      </c>
      <c r="G14" s="11">
        <f>IF(A14&lt;&gt;"",INDEX('[1]01-数据'!$C$11:$ND$11,MATCH(A14,'[1]01-数据'!$C$1:$ND$1))," ")</f>
        <v>11.51</v>
      </c>
      <c r="H14" s="11">
        <f>IF(A14&lt;&gt;"",INDEX('[1]01-数据'!$C$14:$ND$14,MATCH(A14,'[1]01-数据'!$C$1:$ND$1))," ")</f>
        <v>8.24</v>
      </c>
      <c r="K14" s="29"/>
    </row>
    <row r="15" s="2" customFormat="1" spans="1:11">
      <c r="A15" s="28">
        <v>45455</v>
      </c>
      <c r="B15" s="11">
        <f>IF(A15&lt;&gt;"",INDEX('[1]01-数据'!$C$2:$ND$2,MATCH(A15,'[1]01-数据'!$C$1:$ND$1))," ")</f>
        <v>271.29</v>
      </c>
      <c r="C15" s="11">
        <f>IF(A15&lt;&gt;"",INDEX('[1]01-数据'!$C$3:$ND$3,MATCH(A15,'[1]01-数据'!$C$1:$ND$1))," ")</f>
        <v>2974.32</v>
      </c>
      <c r="D15" s="15">
        <f>IF(A15&lt;&gt;"",INDEX('[1]01-数据'!$C$4:$ND$4,MATCH(A15,'[1]01-数据'!$C$1:$ND$1))," ")</f>
        <v>0.0193</v>
      </c>
      <c r="E15" s="11">
        <f>IF(A15&lt;&gt;"",INDEX('[1]01-数据'!$C$6:$ND$6,MATCH(A15,'[1]01-数据'!$C$1:$ND$1))," ")</f>
        <v>40133.59</v>
      </c>
      <c r="F15" s="15">
        <f>IF(A15&lt;&gt;"",INDEX('[1]01-数据'!$C$7:$ND$7,MATCH(A15,'[1]01-数据'!$C$1:$ND$1))," ")</f>
        <v>0.0811</v>
      </c>
      <c r="G15" s="11">
        <f>IF(A15&lt;&gt;"",INDEX('[1]01-数据'!$C$11:$ND$11,MATCH(A15,'[1]01-数据'!$C$1:$ND$1))," ")</f>
        <v>11.93</v>
      </c>
      <c r="H15" s="11">
        <f>IF(A15&lt;&gt;"",INDEX('[1]01-数据'!$C$14:$ND$14,MATCH(A15,'[1]01-数据'!$C$1:$ND$1))," ")</f>
        <v>9.09</v>
      </c>
      <c r="K15" s="29"/>
    </row>
    <row r="16" s="2" customFormat="1" spans="1:12">
      <c r="A16" s="28">
        <v>45456</v>
      </c>
      <c r="B16" s="11">
        <f>IF(A16&lt;&gt;"",INDEX('[1]01-数据'!$C$2:$ND$2,MATCH(A16,'[1]01-数据'!$C$1:$ND$1))," ")</f>
        <v>279.55</v>
      </c>
      <c r="C16" s="11">
        <f>IF(A16&lt;&gt;"",INDEX('[1]01-数据'!$C$3:$ND$3,MATCH(A16,'[1]01-数据'!$C$1:$ND$1))," ")</f>
        <v>3253.87</v>
      </c>
      <c r="D16" s="15">
        <f>IF(A16&lt;&gt;"",INDEX('[1]01-数据'!$C$4:$ND$4,MATCH(A16,'[1]01-数据'!$C$1:$ND$1))," ")</f>
        <v>0.0261</v>
      </c>
      <c r="E16" s="11">
        <f>IF(A16&lt;&gt;"",INDEX('[1]01-数据'!$C$6:$ND$6,MATCH(A16,'[1]01-数据'!$C$1:$ND$1))," ")</f>
        <v>40413.15</v>
      </c>
      <c r="F16" s="15">
        <f>IF(A16&lt;&gt;"",INDEX('[1]01-数据'!$C$7:$ND$7,MATCH(A16,'[1]01-数据'!$C$1:$ND$1))," ")</f>
        <v>0.0813</v>
      </c>
      <c r="G16" s="11">
        <f>IF(A16&lt;&gt;"",INDEX('[1]01-数据'!$C$11:$ND$11,MATCH(A16,'[1]01-数据'!$C$1:$ND$1))," ")</f>
        <v>12.27</v>
      </c>
      <c r="H16" s="11">
        <f>IF(A16&lt;&gt;"",INDEX('[1]01-数据'!$C$14:$ND$14,MATCH(A16,'[1]01-数据'!$C$1:$ND$1))," ")</f>
        <v>9.46</v>
      </c>
      <c r="K16" s="2">
        <v>12</v>
      </c>
      <c r="L16" s="2">
        <f>(K16+0.6046)/0.0449</f>
        <v>280.726057906459</v>
      </c>
    </row>
    <row r="17" s="2" customFormat="1" spans="1:12">
      <c r="A17" s="28">
        <v>45457</v>
      </c>
      <c r="B17" s="11">
        <f>IF(A17&lt;&gt;"",INDEX('[1]01-数据'!$C$2:$ND$2,MATCH(A17,'[1]01-数据'!$C$1:$ND$1))," ")</f>
        <v>281.54</v>
      </c>
      <c r="C17" s="11">
        <f>IF(A17&lt;&gt;"",INDEX('[1]01-数据'!$C$3:$ND$3,MATCH(A17,'[1]01-数据'!$C$1:$ND$1))," ")</f>
        <v>3535.41</v>
      </c>
      <c r="D17" s="15">
        <f>IF(A17&lt;&gt;"",INDEX('[1]01-数据'!$C$4:$ND$4,MATCH(A17,'[1]01-数据'!$C$1:$ND$1))," ")</f>
        <v>0.0325</v>
      </c>
      <c r="E17" s="11">
        <f>IF(A17&lt;&gt;"",INDEX('[1]01-数据'!$C$6:$ND$6,MATCH(A17,'[1]01-数据'!$C$1:$ND$1))," ")</f>
        <v>40694.69</v>
      </c>
      <c r="F17" s="15">
        <f>IF(A17&lt;&gt;"",INDEX('[1]01-数据'!$C$7:$ND$7,MATCH(A17,'[1]01-数据'!$C$1:$ND$1))," ")</f>
        <v>0.0815</v>
      </c>
      <c r="G17" s="11">
        <f>IF(A17&lt;&gt;"",INDEX('[1]01-数据'!$C$11:$ND$11,MATCH(A17,'[1]01-数据'!$C$1:$ND$1))," ")</f>
        <v>12.37</v>
      </c>
      <c r="H17" s="11">
        <f>IF(A17&lt;&gt;"",INDEX('[1]01-数据'!$C$14:$ND$14,MATCH(A17,'[1]01-数据'!$C$1:$ND$1))," ")</f>
        <v>9.64</v>
      </c>
      <c r="K17" s="2">
        <v>13</v>
      </c>
      <c r="L17" s="2">
        <f>(K17+0.6046)/0.0449</f>
        <v>302.997772828508</v>
      </c>
    </row>
    <row r="18" s="2" customFormat="1" spans="1:12">
      <c r="A18" s="27">
        <v>45458</v>
      </c>
      <c r="B18" s="8">
        <f>IF(A18&lt;&gt;"",INDEX('[1]01-数据'!$C$2:$ND$2,MATCH(A18,'[1]01-数据'!$C$1:$ND$1))," ")</f>
        <v>278.78</v>
      </c>
      <c r="C18" s="8">
        <f>IF(A18&lt;&gt;"",INDEX('[1]01-数据'!$C$3:$ND$3,MATCH(A18,'[1]01-数据'!$C$1:$ND$1))," ")</f>
        <v>3814.19</v>
      </c>
      <c r="D18" s="14">
        <f>IF(A18&lt;&gt;"",INDEX('[1]01-数据'!$C$4:$ND$4,MATCH(A18,'[1]01-数据'!$C$1:$ND$1))," ")</f>
        <v>0.0368</v>
      </c>
      <c r="E18" s="8">
        <f>IF(A18&lt;&gt;"",INDEX('[1]01-数据'!$C$6:$ND$6,MATCH(A18,'[1]01-数据'!$C$1:$ND$1))," ")</f>
        <v>40973.46</v>
      </c>
      <c r="F18" s="14">
        <f>IF(A18&lt;&gt;"",INDEX('[1]01-数据'!$C$7:$ND$7,MATCH(A18,'[1]01-数据'!$C$1:$ND$1))," ")</f>
        <v>0.0816</v>
      </c>
      <c r="G18" s="8">
        <f>IF(A18&lt;&gt;"",INDEX('[1]01-数据'!$C$11:$ND$11,MATCH(A18,'[1]01-数据'!$C$1:$ND$1))," ")</f>
        <v>12.16</v>
      </c>
      <c r="H18" s="8">
        <f>IF(A18&lt;&gt;"",INDEX('[1]01-数据'!$C$14:$ND$14,MATCH(A18,'[1]01-数据'!$C$1:$ND$1))," ")</f>
        <v>9.69</v>
      </c>
      <c r="K18" s="2">
        <v>14</v>
      </c>
      <c r="L18" s="2">
        <f>(K18+0.6046)/0.0449</f>
        <v>325.269487750557</v>
      </c>
    </row>
    <row r="19" s="2" customFormat="1" spans="1:8">
      <c r="A19" s="27">
        <v>45459</v>
      </c>
      <c r="B19" s="8">
        <f>IF(A19&lt;&gt;"",INDEX('[1]01-数据'!$C$2:$ND$2,MATCH(A19,'[1]01-数据'!$C$1:$ND$1))," ")</f>
        <v>266.53</v>
      </c>
      <c r="C19" s="8">
        <f>IF(A19&lt;&gt;"",INDEX('[1]01-数据'!$C$3:$ND$3,MATCH(A19,'[1]01-数据'!$C$1:$ND$1))," ")</f>
        <v>4080.72</v>
      </c>
      <c r="D19" s="14">
        <f>IF(A19&lt;&gt;"",INDEX('[1]01-数据'!$C$4:$ND$4,MATCH(A19,'[1]01-数据'!$C$1:$ND$1))," ")</f>
        <v>0.0377</v>
      </c>
      <c r="E19" s="8">
        <f>IF(A19&lt;&gt;"",INDEX('[1]01-数据'!$C$6:$ND$6,MATCH(A19,'[1]01-数据'!$C$1:$ND$1))," ")</f>
        <v>41240</v>
      </c>
      <c r="F19" s="14">
        <f>IF(A19&lt;&gt;"",INDEX('[1]01-数据'!$C$7:$ND$7,MATCH(A19,'[1]01-数据'!$C$1:$ND$1))," ")</f>
        <v>0.0814</v>
      </c>
      <c r="G19" s="8">
        <f>IF(A19&lt;&gt;"",INDEX('[1]01-数据'!$C$11:$ND$11,MATCH(A19,'[1]01-数据'!$C$1:$ND$1))," ")</f>
        <v>11.53</v>
      </c>
      <c r="H19" s="8">
        <f>IF(A19&lt;&gt;"",INDEX('[1]01-数据'!$C$14:$ND$14,MATCH(A19,'[1]01-数据'!$C$1:$ND$1))," ")</f>
        <v>9.59</v>
      </c>
    </row>
    <row r="20" s="2" customFormat="1" spans="1:8">
      <c r="A20" s="28">
        <v>45460</v>
      </c>
      <c r="B20" s="11">
        <f>IF(A20&lt;&gt;"",INDEX('[1]01-数据'!$C$2:$ND$2,MATCH(A20,'[1]01-数据'!$C$1:$ND$1))," ")</f>
        <v>272.63</v>
      </c>
      <c r="C20" s="11">
        <f>IF(A20&lt;&gt;"",INDEX('[1]01-数据'!$C$3:$ND$3,MATCH(A20,'[1]01-数据'!$C$1:$ND$1))," ")</f>
        <v>4353.35</v>
      </c>
      <c r="D20" s="15">
        <f>IF(A20&lt;&gt;"",INDEX('[1]01-数据'!$C$4:$ND$4,MATCH(A20,'[1]01-数据'!$C$1:$ND$1))," ")</f>
        <v>0.0416</v>
      </c>
      <c r="E20" s="11">
        <f>IF(A20&lt;&gt;"",INDEX('[1]01-数据'!$C$6:$ND$6,MATCH(A20,'[1]01-数据'!$C$1:$ND$1))," ")</f>
        <v>41512.63</v>
      </c>
      <c r="F20" s="15">
        <f>IF(A20&lt;&gt;"",INDEX('[1]01-数据'!$C$7:$ND$7,MATCH(A20,'[1]01-数据'!$C$1:$ND$1))," ")</f>
        <v>0.0815</v>
      </c>
      <c r="G20" s="11">
        <f>IF(A20&lt;&gt;"",INDEX('[1]01-数据'!$C$11:$ND$11,MATCH(A20,'[1]01-数据'!$C$1:$ND$1))," ")</f>
        <v>11.99</v>
      </c>
      <c r="H20" s="11">
        <f>IF(A20&lt;&gt;"",INDEX('[1]01-数据'!$C$14:$ND$14,MATCH(A20,'[1]01-数据'!$C$1:$ND$1))," ")</f>
        <v>9.21</v>
      </c>
    </row>
    <row r="21" s="2" customFormat="1" spans="1:8">
      <c r="A21" s="28">
        <v>45461</v>
      </c>
      <c r="B21" s="11">
        <f>IF(A21&lt;&gt;"",INDEX('[1]01-数据'!$C$2:$ND$2,MATCH(A21,'[1]01-数据'!$C$1:$ND$1))," ")</f>
        <v>276.15</v>
      </c>
      <c r="C21" s="11">
        <f>IF(A21&lt;&gt;"",INDEX('[1]01-数据'!$C$3:$ND$3,MATCH(A21,'[1]01-数据'!$C$1:$ND$1))," ")</f>
        <v>4629.5</v>
      </c>
      <c r="D21" s="15">
        <f>IF(A21&lt;&gt;"",INDEX('[1]01-数据'!$C$4:$ND$4,MATCH(A21,'[1]01-数据'!$C$1:$ND$1))," ")</f>
        <v>0.0469</v>
      </c>
      <c r="E21" s="11">
        <f>IF(A21&lt;&gt;"",INDEX('[1]01-数据'!$C$6:$ND$6,MATCH(A21,'[1]01-数据'!$C$1:$ND$1))," ")</f>
        <v>41788.78</v>
      </c>
      <c r="F21" s="15">
        <f>IF(A21&lt;&gt;"",INDEX('[1]01-数据'!$C$7:$ND$7,MATCH(A21,'[1]01-数据'!$C$1:$ND$1))," ")</f>
        <v>0.0819</v>
      </c>
      <c r="G21" s="11">
        <f>IF(A21&lt;&gt;"",INDEX('[1]01-数据'!$C$11:$ND$11,MATCH(A21,'[1]01-数据'!$C$1:$ND$1))," ")</f>
        <v>12.16</v>
      </c>
      <c r="H21" s="11">
        <f>IF(A21&lt;&gt;"",INDEX('[1]01-数据'!$C$14:$ND$14,MATCH(A21,'[1]01-数据'!$C$1:$ND$1))," ")</f>
        <v>9.5</v>
      </c>
    </row>
    <row r="22" s="2" customFormat="1" spans="1:8">
      <c r="A22" s="28">
        <v>45462</v>
      </c>
      <c r="B22" s="11">
        <f>IF(A22&lt;&gt;"",INDEX('[1]01-数据'!$C$2:$ND$2,MATCH(A22,'[1]01-数据'!$C$1:$ND$1))," ")</f>
        <v>276.68</v>
      </c>
      <c r="C22" s="11">
        <f>IF(A22&lt;&gt;"",INDEX('[1]01-数据'!$C$3:$ND$3,MATCH(A22,'[1]01-数据'!$C$1:$ND$1))," ")</f>
        <v>4906.18</v>
      </c>
      <c r="D22" s="15">
        <f>IF(A22&lt;&gt;"",INDEX('[1]01-数据'!$C$4:$ND$4,MATCH(A22,'[1]01-数据'!$C$1:$ND$1))," ")</f>
        <v>0.05</v>
      </c>
      <c r="E22" s="11">
        <f>IF(A22&lt;&gt;"",INDEX('[1]01-数据'!$C$6:$ND$6,MATCH(A22,'[1]01-数据'!$C$1:$ND$1))," ")</f>
        <v>42065.46</v>
      </c>
      <c r="F22" s="15">
        <f>IF(A22&lt;&gt;"",INDEX('[1]01-数据'!$C$7:$ND$7,MATCH(A22,'[1]01-数据'!$C$1:$ND$1))," ")</f>
        <v>0.082</v>
      </c>
      <c r="G22" s="11">
        <f>IF(A22&lt;&gt;"",INDEX('[1]01-数据'!$C$11:$ND$11,MATCH(A22,'[1]01-数据'!$C$1:$ND$1))," ")</f>
        <v>12.13</v>
      </c>
      <c r="H22" s="11">
        <f>IF(A22&lt;&gt;"",INDEX('[1]01-数据'!$C$14:$ND$14,MATCH(A22,'[1]01-数据'!$C$1:$ND$1))," ")</f>
        <v>9.53</v>
      </c>
    </row>
    <row r="23" s="2" customFormat="1" spans="1:8">
      <c r="A23" s="28">
        <v>45463</v>
      </c>
      <c r="B23" s="11">
        <f>IF(A23&lt;&gt;"",INDEX('[1]01-数据'!$C$2:$ND$2,MATCH(A23,'[1]01-数据'!$C$1:$ND$1))," ")</f>
        <v>280.65</v>
      </c>
      <c r="C23" s="11">
        <f>IF(A23&lt;&gt;"",INDEX('[1]01-数据'!$C$3:$ND$3,MATCH(A23,'[1]01-数据'!$C$1:$ND$1))," ")</f>
        <v>5186.83</v>
      </c>
      <c r="D23" s="15">
        <f>IF(A23&lt;&gt;"",INDEX('[1]01-数据'!$C$4:$ND$4,MATCH(A23,'[1]01-数据'!$C$1:$ND$1))," ")</f>
        <v>0.0522</v>
      </c>
      <c r="E23" s="11">
        <f>IF(A23&lt;&gt;"",INDEX('[1]01-数据'!$C$6:$ND$6,MATCH(A23,'[1]01-数据'!$C$1:$ND$1))," ")</f>
        <v>42346.1</v>
      </c>
      <c r="F23" s="15">
        <f>IF(A23&lt;&gt;"",INDEX('[1]01-数据'!$C$7:$ND$7,MATCH(A23,'[1]01-数据'!$C$1:$ND$1))," ")</f>
        <v>0.0821</v>
      </c>
      <c r="G23" s="11">
        <f>IF(A23&lt;&gt;"",INDEX('[1]01-数据'!$C$11:$ND$11,MATCH(A23,'[1]01-数据'!$C$1:$ND$1))," ")</f>
        <v>12.29</v>
      </c>
      <c r="H23" s="11">
        <f>IF(A23&lt;&gt;"",INDEX('[1]01-数据'!$C$14:$ND$14,MATCH(A23,'[1]01-数据'!$C$1:$ND$1))," ")</f>
        <v>9.59</v>
      </c>
    </row>
    <row r="24" s="2" customFormat="1" spans="1:8">
      <c r="A24" s="28">
        <v>45464</v>
      </c>
      <c r="B24" s="11">
        <f>IF(A24&lt;&gt;"",INDEX('[1]01-数据'!$C$2:$ND$2,MATCH(A24,'[1]01-数据'!$C$1:$ND$1))," ")</f>
        <v>280.22</v>
      </c>
      <c r="C24" s="11">
        <f>IF(A24&lt;&gt;"",INDEX('[1]01-数据'!$C$3:$ND$3,MATCH(A24,'[1]01-数据'!$C$1:$ND$1))," ")</f>
        <v>5467.05</v>
      </c>
      <c r="D24" s="15">
        <f>IF(A24&lt;&gt;"",INDEX('[1]01-数据'!$C$4:$ND$4,MATCH(A24,'[1]01-数据'!$C$1:$ND$1))," ")</f>
        <v>0.0537</v>
      </c>
      <c r="E24" s="11">
        <f>IF(A24&lt;&gt;"",INDEX('[1]01-数据'!$C$6:$ND$6,MATCH(A24,'[1]01-数据'!$C$1:$ND$1))," ")</f>
        <v>42626.32</v>
      </c>
      <c r="F24" s="15">
        <f>IF(A24&lt;&gt;"",INDEX('[1]01-数据'!$C$7:$ND$7,MATCH(A24,'[1]01-数据'!$C$1:$ND$1))," ")</f>
        <v>0.0821</v>
      </c>
      <c r="G24" s="11">
        <f>IF(A24&lt;&gt;"",INDEX('[1]01-数据'!$C$11:$ND$11,MATCH(A24,'[1]01-数据'!$C$1:$ND$1))," ")</f>
        <v>12.31</v>
      </c>
      <c r="H24" s="11">
        <f>IF(A24&lt;&gt;"",INDEX('[1]01-数据'!$C$14:$ND$14,MATCH(A24,'[1]01-数据'!$C$1:$ND$1))," ")</f>
        <v>9.76</v>
      </c>
    </row>
    <row r="25" s="2" customFormat="1" spans="1:8">
      <c r="A25" s="27">
        <v>45465</v>
      </c>
      <c r="B25" s="8">
        <f>IF(A25&lt;&gt;"",INDEX('[1]01-数据'!$C$2:$ND$2,MATCH(A25,'[1]01-数据'!$C$1:$ND$1))," ")</f>
        <v>278.71</v>
      </c>
      <c r="C25" s="8">
        <f>IF(A25&lt;&gt;"",INDEX('[1]01-数据'!$C$3:$ND$3,MATCH(A25,'[1]01-数据'!$C$1:$ND$1))," ")</f>
        <v>5745.76</v>
      </c>
      <c r="D25" s="14">
        <f>IF(A25&lt;&gt;"",INDEX('[1]01-数据'!$C$4:$ND$4,MATCH(A25,'[1]01-数据'!$C$1:$ND$1))," ")</f>
        <v>0.0591</v>
      </c>
      <c r="E25" s="8">
        <f>IF(A25&lt;&gt;"",INDEX('[1]01-数据'!$C$6:$ND$6,MATCH(A25,'[1]01-数据'!$C$1:$ND$1))," ")</f>
        <v>42905.04</v>
      </c>
      <c r="F25" s="14">
        <f>IF(A25&lt;&gt;"",INDEX('[1]01-数据'!$C$7:$ND$7,MATCH(A25,'[1]01-数据'!$C$1:$ND$1))," ")</f>
        <v>0.0827</v>
      </c>
      <c r="G25" s="8">
        <f>IF(A25&lt;&gt;"",INDEX('[1]01-数据'!$C$11:$ND$11,MATCH(A25,'[1]01-数据'!$C$1:$ND$1))," ")</f>
        <v>12.14</v>
      </c>
      <c r="H25" s="8">
        <f>IF(A25&lt;&gt;"",INDEX('[1]01-数据'!$C$14:$ND$14,MATCH(A25,'[1]01-数据'!$C$1:$ND$1))," ")</f>
        <v>9.72</v>
      </c>
    </row>
    <row r="26" s="2" customFormat="1" spans="1:8">
      <c r="A26" s="27">
        <v>45466</v>
      </c>
      <c r="B26" s="8">
        <f>IF(A26&lt;&gt;"",INDEX('[1]01-数据'!$C$2:$ND$2,MATCH(A26,'[1]01-数据'!$C$1:$ND$1))," ")</f>
        <v>269.94</v>
      </c>
      <c r="C26" s="8">
        <f>IF(A26&lt;&gt;"",INDEX('[1]01-数据'!$C$3:$ND$3,MATCH(A26,'[1]01-数据'!$C$1:$ND$1))," ")</f>
        <v>6015.71</v>
      </c>
      <c r="D26" s="14">
        <f>IF(A26&lt;&gt;"",INDEX('[1]01-数据'!$C$4:$ND$4,MATCH(A26,'[1]01-数据'!$C$1:$ND$1))," ")</f>
        <v>0.0616</v>
      </c>
      <c r="E26" s="8">
        <f>IF(A26&lt;&gt;"",INDEX('[1]01-数据'!$C$6:$ND$6,MATCH(A26,'[1]01-数据'!$C$1:$ND$1))," ")</f>
        <v>43174.98</v>
      </c>
      <c r="F26" s="14">
        <f>IF(A26&lt;&gt;"",INDEX('[1]01-数据'!$C$7:$ND$7,MATCH(A26,'[1]01-数据'!$C$1:$ND$1))," ")</f>
        <v>0.0829</v>
      </c>
      <c r="G26" s="8">
        <f>IF(A26&lt;&gt;"",INDEX('[1]01-数据'!$C$11:$ND$11,MATCH(A26,'[1]01-数据'!$C$1:$ND$1))," ")</f>
        <v>11.64</v>
      </c>
      <c r="H26" s="8">
        <f>IF(A26&lt;&gt;"",INDEX('[1]01-数据'!$C$14:$ND$14,MATCH(A26,'[1]01-数据'!$C$1:$ND$1))," ")</f>
        <v>9.66</v>
      </c>
    </row>
    <row r="27" s="2" customFormat="1" spans="1:8">
      <c r="A27" s="28">
        <v>45467</v>
      </c>
      <c r="B27" s="11">
        <f>IF(A27&lt;&gt;"",INDEX('[1]01-数据'!$C$2:$ND$2,MATCH(A27,'[1]01-数据'!$C$1:$ND$1))," ")</f>
        <v>274.08</v>
      </c>
      <c r="C27" s="11">
        <f>IF(A27&lt;&gt;"",INDEX('[1]01-数据'!$C$3:$ND$3,MATCH(A27,'[1]01-数据'!$C$1:$ND$1))," ")</f>
        <v>6289.78</v>
      </c>
      <c r="D27" s="15">
        <f>IF(A27&lt;&gt;"",INDEX('[1]01-数据'!$C$4:$ND$4,MATCH(A27,'[1]01-数据'!$C$1:$ND$1))," ")</f>
        <v>0.0635</v>
      </c>
      <c r="E27" s="11">
        <f>IF(A27&lt;&gt;"",INDEX('[1]01-数据'!$C$6:$ND$6,MATCH(A27,'[1]01-数据'!$C$1:$ND$1))," ")</f>
        <v>43449.06</v>
      </c>
      <c r="F27" s="15">
        <f>IF(A27&lt;&gt;"",INDEX('[1]01-数据'!$C$7:$ND$7,MATCH(A27,'[1]01-数据'!$C$1:$ND$1))," ")</f>
        <v>0.083</v>
      </c>
      <c r="G27" s="11">
        <f>IF(A27&lt;&gt;"",INDEX('[1]01-数据'!$C$11:$ND$11,MATCH(A27,'[1]01-数据'!$C$1:$ND$1))," ")</f>
        <v>12.11</v>
      </c>
      <c r="H27" s="11">
        <f>IF(A27&lt;&gt;"",INDEX('[1]01-数据'!$C$14:$ND$14,MATCH(A27,'[1]01-数据'!$C$1:$ND$1))," ")</f>
        <v>9.39</v>
      </c>
    </row>
    <row r="28" s="2" customFormat="1" spans="1:8">
      <c r="A28" s="28">
        <v>45468</v>
      </c>
      <c r="B28" s="11">
        <f>IF(A28&lt;&gt;"",INDEX('[1]01-数据'!$C$2:$ND$2,MATCH(A28,'[1]01-数据'!$C$1:$ND$1))," ")</f>
        <v>273.77</v>
      </c>
      <c r="C28" s="11">
        <f>IF(A28&lt;&gt;"",INDEX('[1]01-数据'!$C$3:$ND$3,MATCH(A28,'[1]01-数据'!$C$1:$ND$1))," ")</f>
        <v>6563.56</v>
      </c>
      <c r="D28" s="15">
        <f>IF(A28&lt;&gt;"",INDEX('[1]01-数据'!$C$4:$ND$4,MATCH(A28,'[1]01-数据'!$C$1:$ND$1))," ")</f>
        <v>0.0643</v>
      </c>
      <c r="E28" s="11">
        <f>IF(A28&lt;&gt;"",INDEX('[1]01-数据'!$C$6:$ND$6,MATCH(A28,'[1]01-数据'!$C$1:$ND$1))," ")</f>
        <v>43722.83</v>
      </c>
      <c r="F28" s="15">
        <f>IF(A28&lt;&gt;"",INDEX('[1]01-数据'!$C$7:$ND$7,MATCH(A28,'[1]01-数据'!$C$1:$ND$1))," ")</f>
        <v>0.083</v>
      </c>
      <c r="G28" s="11">
        <f>IF(A28&lt;&gt;"",INDEX('[1]01-数据'!$C$11:$ND$11,MATCH(A28,'[1]01-数据'!$C$1:$ND$1))," ")</f>
        <v>12</v>
      </c>
      <c r="H28" s="11">
        <f>IF(A28&lt;&gt;"",INDEX('[1]01-数据'!$C$14:$ND$14,MATCH(A28,'[1]01-数据'!$C$1:$ND$1))," ")</f>
        <v>9.5</v>
      </c>
    </row>
    <row r="29" s="2" customFormat="1" spans="1:8">
      <c r="A29" s="28">
        <v>45469</v>
      </c>
      <c r="B29" s="11">
        <f>IF(A29&lt;&gt;"",INDEX('[1]01-数据'!$C$2:$ND$2,MATCH(A29,'[1]01-数据'!$C$1:$ND$1))," ")</f>
        <v>273.7</v>
      </c>
      <c r="C29" s="11">
        <f>IF(A29&lt;&gt;"",INDEX('[1]01-数据'!$C$3:$ND$3,MATCH(A29,'[1]01-数据'!$C$1:$ND$1))," ")</f>
        <v>6837.26</v>
      </c>
      <c r="D29" s="15">
        <f>IF(A29&lt;&gt;"",INDEX('[1]01-数据'!$C$4:$ND$4,MATCH(A29,'[1]01-数据'!$C$1:$ND$1))," ")</f>
        <v>0.0642</v>
      </c>
      <c r="E29" s="11">
        <f>IF(A29&lt;&gt;"",INDEX('[1]01-数据'!$C$6:$ND$6,MATCH(A29,'[1]01-数据'!$C$1:$ND$1))," ")</f>
        <v>43996.53</v>
      </c>
      <c r="F29" s="15">
        <f>IF(A29&lt;&gt;"",INDEX('[1]01-数据'!$C$7:$ND$7,MATCH(A29,'[1]01-数据'!$C$1:$ND$1))," ")</f>
        <v>0.0829</v>
      </c>
      <c r="G29" s="11">
        <f>IF(A29&lt;&gt;"",INDEX('[1]01-数据'!$C$11:$ND$11,MATCH(A29,'[1]01-数据'!$C$1:$ND$1))," ")</f>
        <v>12.06</v>
      </c>
      <c r="H29" s="11">
        <f>IF(A29&lt;&gt;"",INDEX('[1]01-数据'!$C$14:$ND$14,MATCH(A29,'[1]01-数据'!$C$1:$ND$1))," ")</f>
        <v>9.49</v>
      </c>
    </row>
    <row r="30" s="2" customFormat="1" spans="1:8">
      <c r="A30" s="28">
        <v>45470</v>
      </c>
      <c r="B30" s="11">
        <f>IF(A30&lt;&gt;"",INDEX('[1]01-数据'!$C$2:$ND$2,MATCH(A30,'[1]01-数据'!$C$1:$ND$1))," ")</f>
        <v>273.25</v>
      </c>
      <c r="C30" s="11">
        <f>IF(A30&lt;&gt;"",INDEX('[1]01-数据'!$C$3:$ND$3,MATCH(A30,'[1]01-数据'!$C$1:$ND$1))," ")</f>
        <v>7110.51</v>
      </c>
      <c r="D30" s="15">
        <f>IF(A30&lt;&gt;"",INDEX('[1]01-数据'!$C$4:$ND$4,MATCH(A30,'[1]01-数据'!$C$1:$ND$1))," ")</f>
        <v>0.0626</v>
      </c>
      <c r="E30" s="11">
        <f>IF(A30&lt;&gt;"",INDEX('[1]01-数据'!$C$6:$ND$6,MATCH(A30,'[1]01-数据'!$C$1:$ND$1))," ")</f>
        <v>44269.78</v>
      </c>
      <c r="F30" s="15">
        <f>IF(A30&lt;&gt;"",INDEX('[1]01-数据'!$C$7:$ND$7,MATCH(A30,'[1]01-数据'!$C$1:$ND$1))," ")</f>
        <v>0.0825</v>
      </c>
      <c r="G30" s="11">
        <f>IF(A30&lt;&gt;"",INDEX('[1]01-数据'!$C$11:$ND$11,MATCH(A30,'[1]01-数据'!$C$1:$ND$1))," ")</f>
        <v>11.99</v>
      </c>
      <c r="H30" s="11">
        <f>IF(A30&lt;&gt;"",INDEX('[1]01-数据'!$C$14:$ND$14,MATCH(A30,'[1]01-数据'!$C$1:$ND$1))," ")</f>
        <v>9.45</v>
      </c>
    </row>
    <row r="31" s="2" customFormat="1" spans="1:8">
      <c r="A31" s="28">
        <v>45471</v>
      </c>
      <c r="B31" s="11">
        <f>IF(A31&lt;&gt;"",INDEX('[1]01-数据'!$C$2:$ND$2,MATCH(A31,'[1]01-数据'!$C$1:$ND$1))," ")</f>
        <v>276.19</v>
      </c>
      <c r="C31" s="11">
        <f>IF(A31&lt;&gt;"",INDEX('[1]01-数据'!$C$3:$ND$3,MATCH(A31,'[1]01-数据'!$C$1:$ND$1))," ")</f>
        <v>7386.7</v>
      </c>
      <c r="D31" s="15">
        <f>IF(A31&lt;&gt;"",INDEX('[1]01-数据'!$C$4:$ND$4,MATCH(A31,'[1]01-数据'!$C$1:$ND$1))," ")</f>
        <v>0.0608</v>
      </c>
      <c r="E31" s="11">
        <f>IF(A31&lt;&gt;"",INDEX('[1]01-数据'!$C$6:$ND$6,MATCH(A31,'[1]01-数据'!$C$1:$ND$1))," ")</f>
        <v>44545.97</v>
      </c>
      <c r="F31" s="15">
        <f>IF(A31&lt;&gt;"",INDEX('[1]01-数据'!$C$7:$ND$7,MATCH(A31,'[1]01-数据'!$C$1:$ND$1))," ")</f>
        <v>0.0821</v>
      </c>
      <c r="G31" s="11">
        <f>IF(A31&lt;&gt;"",INDEX('[1]01-数据'!$C$11:$ND$11,MATCH(A31,'[1]01-数据'!$C$1:$ND$1))," ")</f>
        <v>12.17</v>
      </c>
      <c r="H31" s="11">
        <f>IF(A31&lt;&gt;"",INDEX('[1]01-数据'!$C$14:$ND$14,MATCH(A31,'[1]01-数据'!$C$1:$ND$1))," ")</f>
        <v>9.49</v>
      </c>
    </row>
    <row r="32" s="2" customFormat="1" spans="1:8">
      <c r="A32" s="27">
        <v>45472</v>
      </c>
      <c r="B32" s="8">
        <f>IF(A32&lt;&gt;"",INDEX('[1]01-数据'!$C$2:$ND$2,MATCH(A32,'[1]01-数据'!$C$1:$ND$1))," ")</f>
        <v>273.91</v>
      </c>
      <c r="C32" s="8">
        <f>IF(A32&lt;&gt;"",INDEX('[1]01-数据'!$C$3:$ND$3,MATCH(A32,'[1]01-数据'!$C$1:$ND$1))," ")</f>
        <v>7660.61</v>
      </c>
      <c r="D32" s="14">
        <f>IF(A32&lt;&gt;"",INDEX('[1]01-数据'!$C$4:$ND$4,MATCH(A32,'[1]01-数据'!$C$1:$ND$1))," ")</f>
        <v>0.0589</v>
      </c>
      <c r="E32" s="8">
        <f>IF(A32&lt;&gt;"",INDEX('[1]01-数据'!$C$6:$ND$6,MATCH(A32,'[1]01-数据'!$C$1:$ND$1))," ")</f>
        <v>44819.88</v>
      </c>
      <c r="F32" s="14">
        <f>IF(A32&lt;&gt;"",INDEX('[1]01-数据'!$C$7:$ND$7,MATCH(A32,'[1]01-数据'!$C$1:$ND$1))," ")</f>
        <v>0.0816</v>
      </c>
      <c r="G32" s="8">
        <f>IF(A32&lt;&gt;"",INDEX('[1]01-数据'!$C$11:$ND$11,MATCH(A32,'[1]01-数据'!$C$1:$ND$1))," ")</f>
        <v>11.95</v>
      </c>
      <c r="H32" s="8">
        <f>IF(A32&lt;&gt;"",INDEX('[1]01-数据'!$C$14:$ND$14,MATCH(A32,'[1]01-数据'!$C$1:$ND$1))," ")</f>
        <v>9.57</v>
      </c>
    </row>
    <row r="33" s="2" customFormat="1" spans="1:8">
      <c r="A33" s="27">
        <v>45473</v>
      </c>
      <c r="B33" s="8">
        <f>IF(A33&lt;&gt;"",INDEX('[1]01-数据'!$C$2:$ND$2,MATCH(A33,'[1]01-数据'!$C$1:$ND$1))," ")</f>
        <v>270.09</v>
      </c>
      <c r="C33" s="8">
        <f>IF(A33&lt;&gt;"",INDEX('[1]01-数据'!$C$3:$ND$3,MATCH(A33,'[1]01-数据'!$C$1:$ND$1))," ")</f>
        <v>7930.7</v>
      </c>
      <c r="D33" s="14">
        <f>IF(A33&lt;&gt;"",INDEX('[1]01-数据'!$C$4:$ND$4,MATCH(A33,'[1]01-数据'!$C$1:$ND$1))," ")</f>
        <v>0.0569</v>
      </c>
      <c r="E33" s="8">
        <f>IF(A33&lt;&gt;"",INDEX('[1]01-数据'!$C$6:$ND$6,MATCH(A33,'[1]01-数据'!$C$1:$ND$1))," ")</f>
        <v>45089.97</v>
      </c>
      <c r="F33" s="14">
        <f>IF(A33&lt;&gt;"",INDEX('[1]01-数据'!$C$7:$ND$7,MATCH(A33,'[1]01-数据'!$C$1:$ND$1))," ")</f>
        <v>0.0811</v>
      </c>
      <c r="G33" s="8">
        <f>IF(A33&lt;&gt;"",INDEX('[1]01-数据'!$C$11:$ND$11,MATCH(A33,'[1]01-数据'!$C$1:$ND$1))," ")</f>
        <v>11.69</v>
      </c>
      <c r="H33" s="8">
        <f>IF(A33&lt;&gt;"",INDEX('[1]01-数据'!$C$14:$ND$14,MATCH(A33,'[1]01-数据'!$C$1:$ND$1))," ")</f>
        <v>9.52</v>
      </c>
    </row>
    <row r="34" spans="1:8">
      <c r="A34" s="13" t="s">
        <v>11</v>
      </c>
      <c r="B34" s="13"/>
      <c r="C34" s="13"/>
      <c r="D34" s="13"/>
      <c r="E34" s="13"/>
      <c r="F34" s="13"/>
      <c r="G34" s="16"/>
      <c r="H34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21" workbookViewId="0">
      <selection activeCell="E34" sqref="C34 E34"/>
    </sheetView>
  </sheetViews>
  <sheetFormatPr defaultColWidth="9" defaultRowHeight="14.25"/>
  <cols>
    <col min="1" max="1" width="9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9" max="9" width="12.625"/>
    <col min="11" max="11" width="9.33333333333333"/>
  </cols>
  <sheetData>
    <row r="1" ht="18.75" spans="1:8">
      <c r="A1" s="3" t="s">
        <v>20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25">
        <v>45474</v>
      </c>
      <c r="B4" s="11">
        <f>IF(A4&lt;&gt;"",INDEX('[1]01-数据'!$C$2:$ND$2,MATCH(A4,'[1]01-数据'!$C$1:$ND$1))," ")</f>
        <v>272.99</v>
      </c>
      <c r="C4" s="11">
        <f>IF(A4&lt;&gt;"",INDEX('[1]01-数据'!$C$3:$ND$3,MATCH(A4,'[1]01-数据'!$C$1:$ND$1))," ")</f>
        <v>272.99</v>
      </c>
      <c r="D4" s="12">
        <f>IF(A4&lt;&gt;"",INDEX('[1]01-数据'!$C$4:$ND$4,MATCH(A4,'[1]01-数据'!$C$1:$ND$1))," ")</f>
        <v>0.0213</v>
      </c>
      <c r="E4" s="11">
        <f>IF(A4&lt;&gt;"",INDEX('[1]01-数据'!$C$6:$ND$6,MATCH(A4,'[1]01-数据'!$C$1:$ND$1))," ")</f>
        <v>45362.95</v>
      </c>
      <c r="F4" s="15">
        <f>IF(A4&lt;&gt;"",INDEX('[1]01-数据'!$C$7:$ND$7,MATCH(A4,'[1]01-数据'!$C$1:$ND$1))," ")</f>
        <v>0.0807</v>
      </c>
      <c r="G4" s="11">
        <f>IF(A4&lt;&gt;"",INDEX('[1]01-数据'!$C$11:$ND$11,MATCH(A4,'[1]01-数据'!$C$1:$ND$1))," ")</f>
        <v>12.17</v>
      </c>
      <c r="H4" s="11">
        <f>IF(A4&lt;&gt;"",INDEX('[1]01-数据'!$C$14:$ND$14,MATCH(A4,'[1]01-数据'!$C$1:$ND$1))," ")</f>
        <v>9.36</v>
      </c>
    </row>
    <row r="5" spans="1:8">
      <c r="A5" s="25">
        <v>45475</v>
      </c>
      <c r="B5" s="11">
        <f>IF(A5&lt;&gt;"",INDEX('[1]01-数据'!$C$2:$ND$2,MATCH(A5,'[1]01-数据'!$C$1:$ND$1))," ")</f>
        <v>270.63</v>
      </c>
      <c r="C5" s="11">
        <f>IF(A5&lt;&gt;"",INDEX('[1]01-数据'!$C$3:$ND$3,MATCH(A5,'[1]01-数据'!$C$1:$ND$1))," ")</f>
        <v>543.62</v>
      </c>
      <c r="D5" s="12">
        <f>IF(A5&lt;&gt;"",INDEX('[1]01-数据'!$C$4:$ND$4,MATCH(A5,'[1]01-数据'!$C$1:$ND$1))," ")</f>
        <v>0.0195</v>
      </c>
      <c r="E5" s="11">
        <f>IF(A5&lt;&gt;"",INDEX('[1]01-数据'!$C$6:$ND$6,MATCH(A5,'[1]01-数据'!$C$1:$ND$1))," ")</f>
        <v>45633.59</v>
      </c>
      <c r="F5" s="15">
        <f>IF(A5&lt;&gt;"",INDEX('[1]01-数据'!$C$7:$ND$7,MATCH(A5,'[1]01-数据'!$C$1:$ND$1))," ")</f>
        <v>0.0803</v>
      </c>
      <c r="G5" s="11">
        <f>IF(A5&lt;&gt;"",INDEX('[1]01-数据'!$C$11:$ND$11,MATCH(A5,'[1]01-数据'!$C$1:$ND$1))," ")</f>
        <v>12.01</v>
      </c>
      <c r="H5" s="11">
        <f>IF(A5&lt;&gt;"",INDEX('[1]01-数据'!$C$14:$ND$14,MATCH(A5,'[1]01-数据'!$C$1:$ND$1))," ")</f>
        <v>9.45</v>
      </c>
    </row>
    <row r="6" spans="1:8">
      <c r="A6" s="25">
        <v>45476</v>
      </c>
      <c r="B6" s="11">
        <f>IF(A6&lt;&gt;"",INDEX('[1]01-数据'!$C$2:$ND$2,MATCH(A6,'[1]01-数据'!$C$1:$ND$1))," ")</f>
        <v>275.72</v>
      </c>
      <c r="C6" s="11">
        <f>IF(A6&lt;&gt;"",INDEX('[1]01-数据'!$C$3:$ND$3,MATCH(A6,'[1]01-数据'!$C$1:$ND$1))," ")</f>
        <v>819.34</v>
      </c>
      <c r="D6" s="12">
        <f>IF(A6&lt;&gt;"",INDEX('[1]01-数据'!$C$4:$ND$4,MATCH(A6,'[1]01-数据'!$C$1:$ND$1))," ")</f>
        <v>0.0151</v>
      </c>
      <c r="E6" s="11">
        <f>IF(A6&lt;&gt;"",INDEX('[1]01-数据'!$C$6:$ND$6,MATCH(A6,'[1]01-数据'!$C$1:$ND$1))," ")</f>
        <v>45909.31</v>
      </c>
      <c r="F6" s="15">
        <f>IF(A6&lt;&gt;"",INDEX('[1]01-数据'!$C$7:$ND$7,MATCH(A6,'[1]01-数据'!$C$1:$ND$1))," ")</f>
        <v>0.0799</v>
      </c>
      <c r="G6" s="11">
        <f>IF(A6&lt;&gt;"",INDEX('[1]01-数据'!$C$11:$ND$11,MATCH(A6,'[1]01-数据'!$C$1:$ND$1))," ")</f>
        <v>12.12</v>
      </c>
      <c r="H6" s="11">
        <f>IF(A6&lt;&gt;"",INDEX('[1]01-数据'!$C$14:$ND$14,MATCH(A6,'[1]01-数据'!$C$1:$ND$1))," ")</f>
        <v>9.39</v>
      </c>
    </row>
    <row r="7" spans="1:8">
      <c r="A7" s="25">
        <v>45477</v>
      </c>
      <c r="B7" s="11">
        <f>IF(A7&lt;&gt;"",INDEX('[1]01-数据'!$C$2:$ND$2,MATCH(A7,'[1]01-数据'!$C$1:$ND$1))," ")</f>
        <v>282.68</v>
      </c>
      <c r="C7" s="11">
        <f>IF(A7&lt;&gt;"",INDEX('[1]01-数据'!$C$3:$ND$3,MATCH(A7,'[1]01-数据'!$C$1:$ND$1))," ")</f>
        <v>1102.02</v>
      </c>
      <c r="D7" s="12">
        <f>IF(A7&lt;&gt;"",INDEX('[1]01-数据'!$C$4:$ND$4,MATCH(A7,'[1]01-数据'!$C$1:$ND$1))," ")</f>
        <v>0.0235</v>
      </c>
      <c r="E7" s="11">
        <f>IF(A7&lt;&gt;"",INDEX('[1]01-数据'!$C$6:$ND$6,MATCH(A7,'[1]01-数据'!$C$1:$ND$1))," ")</f>
        <v>46191.98</v>
      </c>
      <c r="F7" s="15">
        <f>IF(A7&lt;&gt;"",INDEX('[1]01-数据'!$C$7:$ND$7,MATCH(A7,'[1]01-数据'!$C$1:$ND$1))," ")</f>
        <v>0.0797</v>
      </c>
      <c r="G7" s="11">
        <f>IF(A7&lt;&gt;"",INDEX('[1]01-数据'!$C$11:$ND$11,MATCH(A7,'[1]01-数据'!$C$1:$ND$1))," ")</f>
        <v>12.44</v>
      </c>
      <c r="H7" s="11">
        <f>IF(A7&lt;&gt;"",INDEX('[1]01-数据'!$C$14:$ND$14,MATCH(A7,'[1]01-数据'!$C$1:$ND$1))," ")</f>
        <v>9.66</v>
      </c>
    </row>
    <row r="8" spans="1:8">
      <c r="A8" s="25">
        <v>45478</v>
      </c>
      <c r="B8" s="11">
        <f>IF(A8&lt;&gt;"",INDEX('[1]01-数据'!$C$2:$ND$2,MATCH(A8,'[1]01-数据'!$C$1:$ND$1))," ")</f>
        <v>290.51</v>
      </c>
      <c r="C8" s="11">
        <f>IF(A8&lt;&gt;"",INDEX('[1]01-数据'!$C$3:$ND$3,MATCH(A8,'[1]01-数据'!$C$1:$ND$1))," ")</f>
        <v>1392.53</v>
      </c>
      <c r="D8" s="12">
        <f>IF(A8&lt;&gt;"",INDEX('[1]01-数据'!$C$4:$ND$4,MATCH(A8,'[1]01-数据'!$C$1:$ND$1))," ")</f>
        <v>0.0318</v>
      </c>
      <c r="E8" s="11">
        <f>IF(A8&lt;&gt;"",INDEX('[1]01-数据'!$C$6:$ND$6,MATCH(A8,'[1]01-数据'!$C$1:$ND$1))," ")</f>
        <v>46482.5</v>
      </c>
      <c r="F8" s="15">
        <f>IF(A8&lt;&gt;"",INDEX('[1]01-数据'!$C$7:$ND$7,MATCH(A8,'[1]01-数据'!$C$1:$ND$1))," ")</f>
        <v>0.0796</v>
      </c>
      <c r="G8" s="11">
        <f>IF(A8&lt;&gt;"",INDEX('[1]01-数据'!$C$11:$ND$11,MATCH(A8,'[1]01-数据'!$C$1:$ND$1))," ")</f>
        <v>12.86</v>
      </c>
      <c r="H8" s="11">
        <f>IF(A8&lt;&gt;"",INDEX('[1]01-数据'!$C$14:$ND$14,MATCH(A8,'[1]01-数据'!$C$1:$ND$1))," ")</f>
        <v>9.88</v>
      </c>
    </row>
    <row r="9" spans="1:8">
      <c r="A9" s="26">
        <v>45479</v>
      </c>
      <c r="B9" s="8">
        <f>IF(A9&lt;&gt;"",INDEX('[1]01-数据'!$C$2:$ND$2,MATCH(A9,'[1]01-数据'!$C$1:$ND$1))," ")</f>
        <v>291.67</v>
      </c>
      <c r="C9" s="8">
        <f>IF(A9&lt;&gt;"",INDEX('[1]01-数据'!$C$3:$ND$3,MATCH(A9,'[1]01-数据'!$C$1:$ND$1))," ")</f>
        <v>1684.2</v>
      </c>
      <c r="D9" s="9">
        <f>IF(A9&lt;&gt;"",INDEX('[1]01-数据'!$C$4:$ND$4,MATCH(A9,'[1]01-数据'!$C$1:$ND$1))," ")</f>
        <v>0.0317</v>
      </c>
      <c r="E9" s="8">
        <f>IF(A9&lt;&gt;"",INDEX('[1]01-数据'!$C$6:$ND$6,MATCH(A9,'[1]01-数据'!$C$1:$ND$1))," ")</f>
        <v>46774.17</v>
      </c>
      <c r="F9" s="14">
        <f>IF(A9&lt;&gt;"",INDEX('[1]01-数据'!$C$7:$ND$7,MATCH(A9,'[1]01-数据'!$C$1:$ND$1))," ")</f>
        <v>0.0792</v>
      </c>
      <c r="G9" s="8">
        <f>IF(A9&lt;&gt;"",INDEX('[1]01-数据'!$C$11:$ND$11,MATCH(A9,'[1]01-数据'!$C$1:$ND$1))," ")</f>
        <v>12.7</v>
      </c>
      <c r="H9" s="8">
        <f>IF(A9&lt;&gt;"",INDEX('[1]01-数据'!$C$14:$ND$14,MATCH(A9,'[1]01-数据'!$C$1:$ND$1))," ")</f>
        <v>10.04</v>
      </c>
    </row>
    <row r="10" spans="1:8">
      <c r="A10" s="26">
        <v>45480</v>
      </c>
      <c r="B10" s="8">
        <f>IF(A10&lt;&gt;"",INDEX('[1]01-数据'!$C$2:$ND$2,MATCH(A10,'[1]01-数据'!$C$1:$ND$1))," ")</f>
        <v>289.63</v>
      </c>
      <c r="C10" s="8">
        <f>IF(A10&lt;&gt;"",INDEX('[1]01-数据'!$C$3:$ND$3,MATCH(A10,'[1]01-数据'!$C$1:$ND$1))," ")</f>
        <v>1973.83</v>
      </c>
      <c r="D10" s="9">
        <f>IF(A10&lt;&gt;"",INDEX('[1]01-数据'!$C$4:$ND$4,MATCH(A10,'[1]01-数据'!$C$1:$ND$1))," ")</f>
        <v>0.0282</v>
      </c>
      <c r="E10" s="8">
        <f>IF(A10&lt;&gt;"",INDEX('[1]01-数据'!$C$6:$ND$6,MATCH(A10,'[1]01-数据'!$C$1:$ND$1))," ")</f>
        <v>47063.8</v>
      </c>
      <c r="F10" s="14">
        <f>IF(A10&lt;&gt;"",INDEX('[1]01-数据'!$C$7:$ND$7,MATCH(A10,'[1]01-数据'!$C$1:$ND$1))," ")</f>
        <v>0.0788</v>
      </c>
      <c r="G10" s="8">
        <f>IF(A10&lt;&gt;"",INDEX('[1]01-数据'!$C$11:$ND$11,MATCH(A10,'[1]01-数据'!$C$1:$ND$1))," ")</f>
        <v>12.5</v>
      </c>
      <c r="H10" s="8">
        <f>IF(A10&lt;&gt;"",INDEX('[1]01-数据'!$C$14:$ND$14,MATCH(A10,'[1]01-数据'!$C$1:$ND$1))," ")</f>
        <v>10.19</v>
      </c>
    </row>
    <row r="11" spans="1:8">
      <c r="A11" s="25">
        <v>45481</v>
      </c>
      <c r="B11" s="11">
        <f>IF(A11&lt;&gt;"",INDEX('[1]01-数据'!$C$2:$ND$2,MATCH(A11,'[1]01-数据'!$C$1:$ND$1))," ")</f>
        <v>298.26</v>
      </c>
      <c r="C11" s="11">
        <f>IF(A11&lt;&gt;"",INDEX('[1]01-数据'!$C$3:$ND$3,MATCH(A11,'[1]01-数据'!$C$1:$ND$1))," ")</f>
        <v>2272.09</v>
      </c>
      <c r="D11" s="12">
        <f>IF(A11&lt;&gt;"",INDEX('[1]01-数据'!$C$4:$ND$4,MATCH(A11,'[1]01-数据'!$C$1:$ND$1))," ")</f>
        <v>0.0299</v>
      </c>
      <c r="E11" s="11">
        <f>IF(A11&lt;&gt;"",INDEX('[1]01-数据'!$C$6:$ND$6,MATCH(A11,'[1]01-数据'!$C$1:$ND$1))," ")</f>
        <v>47362.06</v>
      </c>
      <c r="F11" s="15">
        <f>IF(A11&lt;&gt;"",INDEX('[1]01-数据'!$C$7:$ND$7,MATCH(A11,'[1]01-数据'!$C$1:$ND$1))," ")</f>
        <v>0.0785</v>
      </c>
      <c r="G11" s="11">
        <f>IF(A11&lt;&gt;"",INDEX('[1]01-数据'!$C$11:$ND$11,MATCH(A11,'[1]01-数据'!$C$1:$ND$1))," ")</f>
        <v>13.22</v>
      </c>
      <c r="H11" s="11">
        <f>IF(A11&lt;&gt;"",INDEX('[1]01-数据'!$C$14:$ND$14,MATCH(A11,'[1]01-数据'!$C$1:$ND$1))," ")</f>
        <v>10.12</v>
      </c>
    </row>
    <row r="12" spans="1:8">
      <c r="A12" s="25">
        <v>45482</v>
      </c>
      <c r="B12" s="11">
        <f>IF(A12&lt;&gt;"",INDEX('[1]01-数据'!$C$2:$ND$2,MATCH(A12,'[1]01-数据'!$C$1:$ND$1))," ")</f>
        <v>297.15</v>
      </c>
      <c r="C12" s="11">
        <f>IF(A12&lt;&gt;"",INDEX('[1]01-数据'!$C$3:$ND$3,MATCH(A12,'[1]01-数据'!$C$1:$ND$1))," ")</f>
        <v>2569.24</v>
      </c>
      <c r="D12" s="12">
        <f>IF(A12&lt;&gt;"",INDEX('[1]01-数据'!$C$4:$ND$4,MATCH(A12,'[1]01-数据'!$C$1:$ND$1))," ")</f>
        <v>0.0319</v>
      </c>
      <c r="E12" s="11">
        <f>IF(A12&lt;&gt;"",INDEX('[1]01-数据'!$C$6:$ND$6,MATCH(A12,'[1]01-数据'!$C$1:$ND$1))," ")</f>
        <v>47659.21</v>
      </c>
      <c r="F12" s="15">
        <f>IF(A12&lt;&gt;"",INDEX('[1]01-数据'!$C$7:$ND$7,MATCH(A12,'[1]01-数据'!$C$1:$ND$1))," ")</f>
        <v>0.0783</v>
      </c>
      <c r="G12" s="11">
        <f>IF(A12&lt;&gt;"",INDEX('[1]01-数据'!$C$11:$ND$11,MATCH(A12,'[1]01-数据'!$C$1:$ND$1))," ")</f>
        <v>13.01</v>
      </c>
      <c r="H12" s="11">
        <f>IF(A12&lt;&gt;"",INDEX('[1]01-数据'!$C$14:$ND$14,MATCH(A12,'[1]01-数据'!$C$1:$ND$1))," ")</f>
        <v>10.26</v>
      </c>
    </row>
    <row r="13" spans="1:11">
      <c r="A13" s="25">
        <v>45483</v>
      </c>
      <c r="B13" s="11">
        <f>IF(A13&lt;&gt;"",INDEX('[1]01-数据'!$C$2:$ND$2,MATCH(A13,'[1]01-数据'!$C$1:$ND$1))," ")</f>
        <v>295.09</v>
      </c>
      <c r="C13" s="11">
        <f>IF(A13&lt;&gt;"",INDEX('[1]01-数据'!$C$3:$ND$3,MATCH(A13,'[1]01-数据'!$C$1:$ND$1))," ")</f>
        <v>2864.33</v>
      </c>
      <c r="D13" s="12">
        <f>IF(A13&lt;&gt;"",INDEX('[1]01-数据'!$C$4:$ND$4,MATCH(A13,'[1]01-数据'!$C$1:$ND$1))," ")</f>
        <v>0.0279</v>
      </c>
      <c r="E13" s="11">
        <f>IF(A13&lt;&gt;"",INDEX('[1]01-数据'!$C$6:$ND$6,MATCH(A13,'[1]01-数据'!$C$1:$ND$1))," ")</f>
        <v>47954.3</v>
      </c>
      <c r="F13" s="15">
        <f>IF(A13&lt;&gt;"",INDEX('[1]01-数据'!$C$7:$ND$7,MATCH(A13,'[1]01-数据'!$C$1:$ND$1))," ")</f>
        <v>0.0778</v>
      </c>
      <c r="G13" s="11">
        <f>IF(A13&lt;&gt;"",INDEX('[1]01-数据'!$C$11:$ND$11,MATCH(A13,'[1]01-数据'!$C$1:$ND$1))," ")</f>
        <v>12.94</v>
      </c>
      <c r="H13" s="11">
        <f>IF(A13&lt;&gt;"",INDEX('[1]01-数据'!$C$14:$ND$14,MATCH(A13,'[1]01-数据'!$C$1:$ND$1))," ")</f>
        <v>10.24</v>
      </c>
      <c r="K13" s="17"/>
    </row>
    <row r="14" spans="1:11">
      <c r="A14" s="25">
        <v>45484</v>
      </c>
      <c r="B14" s="11">
        <f>IF(A14&lt;&gt;"",INDEX('[1]01-数据'!$C$2:$ND$2,MATCH(A14,'[1]01-数据'!$C$1:$ND$1))," ")</f>
        <v>292.04</v>
      </c>
      <c r="C14" s="11">
        <f>IF(A14&lt;&gt;"",INDEX('[1]01-数据'!$C$3:$ND$3,MATCH(A14,'[1]01-数据'!$C$1:$ND$1))," ")</f>
        <v>3156.37</v>
      </c>
      <c r="D14" s="12">
        <f>IF(A14&lt;&gt;"",INDEX('[1]01-数据'!$C$4:$ND$4,MATCH(A14,'[1]01-数据'!$C$1:$ND$1))," ")</f>
        <v>0.022</v>
      </c>
      <c r="E14" s="11">
        <f>IF(A14&lt;&gt;"",INDEX('[1]01-数据'!$C$6:$ND$6,MATCH(A14,'[1]01-数据'!$C$1:$ND$1))," ")</f>
        <v>48246.34</v>
      </c>
      <c r="F14" s="15">
        <f>IF(A14&lt;&gt;"",INDEX('[1]01-数据'!$C$7:$ND$7,MATCH(A14,'[1]01-数据'!$C$1:$ND$1))," ")</f>
        <v>0.077</v>
      </c>
      <c r="G14" s="11">
        <f>IF(A14&lt;&gt;"",INDEX('[1]01-数据'!$C$11:$ND$11,MATCH(A14,'[1]01-数据'!$C$1:$ND$1))," ")</f>
        <v>12.84</v>
      </c>
      <c r="H14" s="11">
        <f>IF(A14&lt;&gt;"",INDEX('[1]01-数据'!$C$14:$ND$14,MATCH(A14,'[1]01-数据'!$C$1:$ND$1))," ")</f>
        <v>10.14</v>
      </c>
      <c r="K14" s="17"/>
    </row>
    <row r="15" spans="1:11">
      <c r="A15" s="25">
        <v>45485</v>
      </c>
      <c r="B15" s="11">
        <f>IF(A15&lt;&gt;"",INDEX('[1]01-数据'!$C$2:$ND$2,MATCH(A15,'[1]01-数据'!$C$1:$ND$1))," ")</f>
        <v>293.52</v>
      </c>
      <c r="C15" s="11">
        <f>IF(A15&lt;&gt;"",INDEX('[1]01-数据'!$C$3:$ND$3,MATCH(A15,'[1]01-数据'!$C$1:$ND$1))," ")</f>
        <v>3449.89</v>
      </c>
      <c r="D15" s="12">
        <f>IF(A15&lt;&gt;"",INDEX('[1]01-数据'!$C$4:$ND$4,MATCH(A15,'[1]01-数据'!$C$1:$ND$1))," ")</f>
        <v>0.0187</v>
      </c>
      <c r="E15" s="11">
        <f>IF(A15&lt;&gt;"",INDEX('[1]01-数据'!$C$6:$ND$6,MATCH(A15,'[1]01-数据'!$C$1:$ND$1))," ")</f>
        <v>48539.86</v>
      </c>
      <c r="F15" s="15">
        <f>IF(A15&lt;&gt;"",INDEX('[1]01-数据'!$C$7:$ND$7,MATCH(A15,'[1]01-数据'!$C$1:$ND$1))," ")</f>
        <v>0.0764</v>
      </c>
      <c r="G15" s="11">
        <f>IF(A15&lt;&gt;"",INDEX('[1]01-数据'!$C$11:$ND$11,MATCH(A15,'[1]01-数据'!$C$1:$ND$1))," ")</f>
        <v>12.92</v>
      </c>
      <c r="H15" s="11">
        <f>IF(A15&lt;&gt;"",INDEX('[1]01-数据'!$C$14:$ND$14,MATCH(A15,'[1]01-数据'!$C$1:$ND$1))," ")</f>
        <v>10.09</v>
      </c>
      <c r="K15" s="17"/>
    </row>
    <row r="16" spans="1:8">
      <c r="A16" s="26">
        <v>45486</v>
      </c>
      <c r="B16" s="8">
        <f>IF(A16&lt;&gt;"",INDEX('[1]01-数据'!$C$2:$ND$2,MATCH(A16,'[1]01-数据'!$C$1:$ND$1))," ")</f>
        <v>286.26</v>
      </c>
      <c r="C16" s="8">
        <f>IF(A16&lt;&gt;"",INDEX('[1]01-数据'!$C$3:$ND$3,MATCH(A16,'[1]01-数据'!$C$1:$ND$1))," ")</f>
        <v>3736.15</v>
      </c>
      <c r="D16" s="9">
        <f>IF(A16&lt;&gt;"",INDEX('[1]01-数据'!$C$4:$ND$4,MATCH(A16,'[1]01-数据'!$C$1:$ND$1))," ")</f>
        <v>0.0157</v>
      </c>
      <c r="E16" s="8">
        <f>IF(A16&lt;&gt;"",INDEX('[1]01-数据'!$C$6:$ND$6,MATCH(A16,'[1]01-数据'!$C$1:$ND$1))," ")</f>
        <v>48826.12</v>
      </c>
      <c r="F16" s="14">
        <f>IF(A16&lt;&gt;"",INDEX('[1]01-数据'!$C$7:$ND$7,MATCH(A16,'[1]01-数据'!$C$1:$ND$1))," ")</f>
        <v>0.0758</v>
      </c>
      <c r="G16" s="8">
        <f>IF(A16&lt;&gt;"",INDEX('[1]01-数据'!$C$11:$ND$11,MATCH(A16,'[1]01-数据'!$C$1:$ND$1))," ")</f>
        <v>12.4</v>
      </c>
      <c r="H16" s="8">
        <f>IF(A16&lt;&gt;"",INDEX('[1]01-数据'!$C$14:$ND$14,MATCH(A16,'[1]01-数据'!$C$1:$ND$1))," ")</f>
        <v>10.12</v>
      </c>
    </row>
    <row r="17" spans="1:8">
      <c r="A17" s="26">
        <v>45487</v>
      </c>
      <c r="B17" s="8">
        <f>IF(A17&lt;&gt;"",INDEX('[1]01-数据'!$C$2:$ND$2,MATCH(A17,'[1]01-数据'!$C$1:$ND$1))," ")</f>
        <v>278.42</v>
      </c>
      <c r="C17" s="8">
        <f>IF(A17&lt;&gt;"",INDEX('[1]01-数据'!$C$3:$ND$3,MATCH(A17,'[1]01-数据'!$C$1:$ND$1))," ")</f>
        <v>4014.57</v>
      </c>
      <c r="D17" s="9">
        <f>IF(A17&lt;&gt;"",INDEX('[1]01-数据'!$C$4:$ND$4,MATCH(A17,'[1]01-数据'!$C$1:$ND$1))," ")</f>
        <v>0.0118</v>
      </c>
      <c r="E17" s="8">
        <f>IF(A17&lt;&gt;"",INDEX('[1]01-数据'!$C$6:$ND$6,MATCH(A17,'[1]01-数据'!$C$1:$ND$1))," ")</f>
        <v>49104.54</v>
      </c>
      <c r="F17" s="14">
        <f>IF(A17&lt;&gt;"",INDEX('[1]01-数据'!$C$7:$ND$7,MATCH(A17,'[1]01-数据'!$C$1:$ND$1))," ")</f>
        <v>0.0751</v>
      </c>
      <c r="G17" s="8">
        <f>IF(A17&lt;&gt;"",INDEX('[1]01-数据'!$C$11:$ND$11,MATCH(A17,'[1]01-数据'!$C$1:$ND$1))," ")</f>
        <v>11.97</v>
      </c>
      <c r="H17" s="8">
        <f>IF(A17&lt;&gt;"",INDEX('[1]01-数据'!$C$14:$ND$14,MATCH(A17,'[1]01-数据'!$C$1:$ND$1))," ")</f>
        <v>9.93</v>
      </c>
    </row>
    <row r="18" spans="1:8">
      <c r="A18" s="25">
        <v>45488</v>
      </c>
      <c r="B18" s="11">
        <f>IF(A18&lt;&gt;"",INDEX('[1]01-数据'!$C$2:$ND$2,MATCH(A18,'[1]01-数据'!$C$1:$ND$1))," ")</f>
        <v>290.98</v>
      </c>
      <c r="C18" s="11">
        <f>IF(A18&lt;&gt;"",INDEX('[1]01-数据'!$C$3:$ND$3,MATCH(A18,'[1]01-数据'!$C$1:$ND$1))," ")</f>
        <v>4305.55</v>
      </c>
      <c r="D18" s="12">
        <f>IF(A18&lt;&gt;"",INDEX('[1]01-数据'!$C$4:$ND$4,MATCH(A18,'[1]01-数据'!$C$1:$ND$1))," ")</f>
        <v>0.0126</v>
      </c>
      <c r="E18" s="11">
        <f>IF(A18&lt;&gt;"",INDEX('[1]01-数据'!$C$6:$ND$6,MATCH(A18,'[1]01-数据'!$C$1:$ND$1))," ")</f>
        <v>49395.51</v>
      </c>
      <c r="F18" s="15">
        <f>IF(A18&lt;&gt;"",INDEX('[1]01-数据'!$C$7:$ND$7,MATCH(A18,'[1]01-数据'!$C$1:$ND$1))," ")</f>
        <v>0.0748</v>
      </c>
      <c r="G18" s="11">
        <f>IF(A18&lt;&gt;"",INDEX('[1]01-数据'!$C$11:$ND$11,MATCH(A18,'[1]01-数据'!$C$1:$ND$1))," ")</f>
        <v>12.9</v>
      </c>
      <c r="H18" s="11">
        <f>IF(A18&lt;&gt;"",INDEX('[1]01-数据'!$C$14:$ND$14,MATCH(A18,'[1]01-数据'!$C$1:$ND$1))," ")</f>
        <v>9.8</v>
      </c>
    </row>
    <row r="19" spans="1:8">
      <c r="A19" s="25">
        <v>45489</v>
      </c>
      <c r="B19" s="11">
        <f>IF(A19&lt;&gt;"",INDEX('[1]01-数据'!$C$2:$ND$2,MATCH(A19,'[1]01-数据'!$C$1:$ND$1))," ")</f>
        <v>297.21</v>
      </c>
      <c r="C19" s="11">
        <f>IF(A19&lt;&gt;"",INDEX('[1]01-数据'!$C$3:$ND$3,MATCH(A19,'[1]01-数据'!$C$1:$ND$1))," ")</f>
        <v>4602.75</v>
      </c>
      <c r="D19" s="12">
        <f>IF(A19&lt;&gt;"",INDEX('[1]01-数据'!$C$4:$ND$4,MATCH(A19,'[1]01-数据'!$C$1:$ND$1))," ")</f>
        <v>0.0174</v>
      </c>
      <c r="E19" s="11">
        <f>IF(A19&lt;&gt;"",INDEX('[1]01-数据'!$C$6:$ND$6,MATCH(A19,'[1]01-数据'!$C$1:$ND$1))," ")</f>
        <v>49692.72</v>
      </c>
      <c r="F19" s="15">
        <f>IF(A19&lt;&gt;"",INDEX('[1]01-数据'!$C$7:$ND$7,MATCH(A19,'[1]01-数据'!$C$1:$ND$1))," ")</f>
        <v>0.0749</v>
      </c>
      <c r="G19" s="11">
        <f>IF(A19&lt;&gt;"",INDEX('[1]01-数据'!$C$11:$ND$11,MATCH(A19,'[1]01-数据'!$C$1:$ND$1))," ")</f>
        <v>13.07</v>
      </c>
      <c r="H19" s="11">
        <f>IF(A19&lt;&gt;"",INDEX('[1]01-数据'!$C$14:$ND$14,MATCH(A19,'[1]01-数据'!$C$1:$ND$1))," ")</f>
        <v>10.13</v>
      </c>
    </row>
    <row r="20" spans="1:8">
      <c r="A20" s="25">
        <v>45490</v>
      </c>
      <c r="B20" s="11">
        <f>IF(A20&lt;&gt;"",INDEX('[1]01-数据'!$C$2:$ND$2,MATCH(A20,'[1]01-数据'!$C$1:$ND$1))," ")</f>
        <v>298.77</v>
      </c>
      <c r="C20" s="11">
        <f>IF(A20&lt;&gt;"",INDEX('[1]01-数据'!$C$3:$ND$3,MATCH(A20,'[1]01-数据'!$C$1:$ND$1))," ")</f>
        <v>4901.53</v>
      </c>
      <c r="D20" s="12">
        <f>IF(A20&lt;&gt;"",INDEX('[1]01-数据'!$C$4:$ND$4,MATCH(A20,'[1]01-数据'!$C$1:$ND$1))," ")</f>
        <v>0.0206</v>
      </c>
      <c r="E20" s="11">
        <f>IF(A20&lt;&gt;"",INDEX('[1]01-数据'!$C$6:$ND$6,MATCH(A20,'[1]01-数据'!$C$1:$ND$1))," ")</f>
        <v>49991.5</v>
      </c>
      <c r="F20" s="15">
        <f>IF(A20&lt;&gt;"",INDEX('[1]01-数据'!$C$7:$ND$7,MATCH(A20,'[1]01-数据'!$C$1:$ND$1))," ")</f>
        <v>0.0749</v>
      </c>
      <c r="G20" s="11">
        <f>IF(A20&lt;&gt;"",INDEX('[1]01-数据'!$C$11:$ND$11,MATCH(A20,'[1]01-数据'!$C$1:$ND$1))," ")</f>
        <v>13.18</v>
      </c>
      <c r="H20" s="11">
        <f>IF(A20&lt;&gt;"",INDEX('[1]01-数据'!$C$14:$ND$14,MATCH(A20,'[1]01-数据'!$C$1:$ND$1))," ")</f>
        <v>10.21</v>
      </c>
    </row>
    <row r="21" spans="1:8">
      <c r="A21" s="25">
        <v>45491</v>
      </c>
      <c r="B21" s="11">
        <f>IF(A21&lt;&gt;"",INDEX('[1]01-数据'!$C$2:$ND$2,MATCH(A21,'[1]01-数据'!$C$1:$ND$1))," ")</f>
        <v>302.52</v>
      </c>
      <c r="C21" s="11">
        <f>IF(A21&lt;&gt;"",INDEX('[1]01-数据'!$C$3:$ND$3,MATCH(A21,'[1]01-数据'!$C$1:$ND$1))," ")</f>
        <v>5204.05</v>
      </c>
      <c r="D21" s="12">
        <f>IF(A21&lt;&gt;"",INDEX('[1]01-数据'!$C$4:$ND$4,MATCH(A21,'[1]01-数据'!$C$1:$ND$1))," ")</f>
        <v>0.0237</v>
      </c>
      <c r="E21" s="11">
        <f>IF(A21&lt;&gt;"",INDEX('[1]01-数据'!$C$6:$ND$6,MATCH(A21,'[1]01-数据'!$C$1:$ND$1))," ")</f>
        <v>50294.02</v>
      </c>
      <c r="F21" s="15">
        <f>IF(A21&lt;&gt;"",INDEX('[1]01-数据'!$C$7:$ND$7,MATCH(A21,'[1]01-数据'!$C$1:$ND$1))," ")</f>
        <v>0.0749</v>
      </c>
      <c r="G21" s="11">
        <f>IF(A21&lt;&gt;"",INDEX('[1]01-数据'!$C$11:$ND$11,MATCH(A21,'[1]01-数据'!$C$1:$ND$1))," ")</f>
        <v>13.4</v>
      </c>
      <c r="H21" s="11">
        <f>IF(A21&lt;&gt;"",INDEX('[1]01-数据'!$C$14:$ND$14,MATCH(A21,'[1]01-数据'!$C$1:$ND$1))," ")</f>
        <v>10.25</v>
      </c>
    </row>
    <row r="22" spans="1:8">
      <c r="A22" s="25">
        <v>45492</v>
      </c>
      <c r="B22" s="11">
        <f>IF(A22&lt;&gt;"",INDEX('[1]01-数据'!$C$2:$ND$2,MATCH(A22,'[1]01-数据'!$C$1:$ND$1))," ")</f>
        <v>307.01</v>
      </c>
      <c r="C22" s="11">
        <f>IF(A22&lt;&gt;"",INDEX('[1]01-数据'!$C$3:$ND$3,MATCH(A22,'[1]01-数据'!$C$1:$ND$1))," ")</f>
        <v>5511.05</v>
      </c>
      <c r="D22" s="12">
        <f>IF(A22&lt;&gt;"",INDEX('[1]01-数据'!$C$4:$ND$4,MATCH(A22,'[1]01-数据'!$C$1:$ND$1))," ")</f>
        <v>0.0272</v>
      </c>
      <c r="E22" s="11">
        <f>IF(A22&lt;&gt;"",INDEX('[1]01-数据'!$C$6:$ND$6,MATCH(A22,'[1]01-数据'!$C$1:$ND$1))," ")</f>
        <v>50601.02</v>
      </c>
      <c r="F22" s="15">
        <f>IF(A22&lt;&gt;"",INDEX('[1]01-数据'!$C$7:$ND$7,MATCH(A22,'[1]01-数据'!$C$1:$ND$1))," ")</f>
        <v>0.075</v>
      </c>
      <c r="G22" s="11">
        <f>IF(A22&lt;&gt;"",INDEX('[1]01-数据'!$C$11:$ND$11,MATCH(A22,'[1]01-数据'!$C$1:$ND$1))," ")</f>
        <v>13.68</v>
      </c>
      <c r="H22" s="11">
        <f>IF(A22&lt;&gt;"",INDEX('[1]01-数据'!$C$14:$ND$14,MATCH(A22,'[1]01-数据'!$C$1:$ND$1))," ")</f>
        <v>10.36</v>
      </c>
    </row>
    <row r="23" spans="1:8">
      <c r="A23" s="26">
        <v>45493</v>
      </c>
      <c r="B23" s="8">
        <f>IF(A23&lt;&gt;"",INDEX('[1]01-数据'!$C$2:$ND$2,MATCH(A23,'[1]01-数据'!$C$1:$ND$1))," ")</f>
        <v>301.3</v>
      </c>
      <c r="C23" s="8">
        <f>IF(A23&lt;&gt;"",INDEX('[1]01-数据'!$C$3:$ND$3,MATCH(A23,'[1]01-数据'!$C$1:$ND$1))," ")</f>
        <v>5812.35</v>
      </c>
      <c r="D23" s="9">
        <f>IF(A23&lt;&gt;"",INDEX('[1]01-数据'!$C$4:$ND$4,MATCH(A23,'[1]01-数据'!$C$1:$ND$1))," ")</f>
        <v>0.0293</v>
      </c>
      <c r="E23" s="8">
        <f>IF(A23&lt;&gt;"",INDEX('[1]01-数据'!$C$6:$ND$6,MATCH(A23,'[1]01-数据'!$C$1:$ND$1))," ")</f>
        <v>50902.32</v>
      </c>
      <c r="F23" s="14">
        <f>IF(A23&lt;&gt;"",INDEX('[1]01-数据'!$C$7:$ND$7,MATCH(A23,'[1]01-数据'!$C$1:$ND$1))," ")</f>
        <v>0.0749</v>
      </c>
      <c r="G23" s="8">
        <f>IF(A23&lt;&gt;"",INDEX('[1]01-数据'!$C$11:$ND$11,MATCH(A23,'[1]01-数据'!$C$1:$ND$1))," ")</f>
        <v>13.13</v>
      </c>
      <c r="H23" s="8">
        <f>IF(A23&lt;&gt;"",INDEX('[1]01-数据'!$C$14:$ND$14,MATCH(A23,'[1]01-数据'!$C$1:$ND$1))," ")</f>
        <v>10.42</v>
      </c>
    </row>
    <row r="24" spans="1:9">
      <c r="A24" s="26">
        <v>45494</v>
      </c>
      <c r="B24" s="8">
        <f>IF(A24&lt;&gt;"",INDEX('[1]01-数据'!$C$2:$ND$2,MATCH(A24,'[1]01-数据'!$C$1:$ND$1))," ")</f>
        <v>304.02</v>
      </c>
      <c r="C24" s="8">
        <f>IF(A24&lt;&gt;"",INDEX('[1]01-数据'!$C$3:$ND$3,MATCH(A24,'[1]01-数据'!$C$1:$ND$1))," ")</f>
        <v>6116.38</v>
      </c>
      <c r="D24" s="9">
        <f>IF(A24&lt;&gt;"",INDEX('[1]01-数据'!$C$4:$ND$4,MATCH(A24,'[1]01-数据'!$C$1:$ND$1))," ")</f>
        <v>0.032</v>
      </c>
      <c r="E24" s="8">
        <f>IF(A24&lt;&gt;"",INDEX('[1]01-数据'!$C$6:$ND$6,MATCH(A24,'[1]01-数据'!$C$1:$ND$1))," ")</f>
        <v>51206.35</v>
      </c>
      <c r="F24" s="14">
        <f>IF(A24&lt;&gt;"",INDEX('[1]01-数据'!$C$7:$ND$7,MATCH(A24,'[1]01-数据'!$C$1:$ND$1))," ")</f>
        <v>0.075</v>
      </c>
      <c r="G24" s="8">
        <f>IF(A24&lt;&gt;"",INDEX('[1]01-数据'!$C$11:$ND$11,MATCH(A24,'[1]01-数据'!$C$1:$ND$1))," ")</f>
        <v>13.39</v>
      </c>
      <c r="H24" s="8">
        <f>IF(A24&lt;&gt;"",INDEX('[1]01-数据'!$C$14:$ND$14,MATCH(A24,'[1]01-数据'!$C$1:$ND$1))," ")</f>
        <v>10.45</v>
      </c>
      <c r="I24">
        <f>AVERAGE(B21:B26)</f>
        <v>309.568333333333</v>
      </c>
    </row>
    <row r="25" spans="1:8">
      <c r="A25" s="25">
        <v>45495</v>
      </c>
      <c r="B25" s="11">
        <f>IF(A25&lt;&gt;"",INDEX('[1]01-数据'!$C$2:$ND$2,MATCH(A25,'[1]01-数据'!$C$1:$ND$1))," ")</f>
        <v>317.93</v>
      </c>
      <c r="C25" s="11">
        <f>IF(A25&lt;&gt;"",INDEX('[1]01-数据'!$C$3:$ND$3,MATCH(A25,'[1]01-数据'!$C$1:$ND$1))," ")</f>
        <v>6434.3</v>
      </c>
      <c r="D25" s="12">
        <f>IF(A25&lt;&gt;"",INDEX('[1]01-数据'!$C$4:$ND$4,MATCH(A25,'[1]01-数据'!$C$1:$ND$1))," ")</f>
        <v>0.0375</v>
      </c>
      <c r="E25" s="11">
        <f>IF(A25&lt;&gt;"",INDEX('[1]01-数据'!$C$6:$ND$6,MATCH(A25,'[1]01-数据'!$C$1:$ND$1))," ")</f>
        <v>51524.27</v>
      </c>
      <c r="F25" s="15">
        <f>IF(A25&lt;&gt;"",INDEX('[1]01-数据'!$C$7:$ND$7,MATCH(A25,'[1]01-数据'!$C$1:$ND$1))," ")</f>
        <v>0.0755</v>
      </c>
      <c r="G25" s="11">
        <f>IF(A25&lt;&gt;"",INDEX('[1]01-数据'!$C$11:$ND$11,MATCH(A25,'[1]01-数据'!$C$1:$ND$1))," ")</f>
        <v>14.19</v>
      </c>
      <c r="H25" s="11">
        <f>IF(A25&lt;&gt;"",INDEX('[1]01-数据'!$C$14:$ND$14,MATCH(A25,'[1]01-数据'!$C$1:$ND$1))," ")</f>
        <v>10.54</v>
      </c>
    </row>
    <row r="26" spans="1:8">
      <c r="A26" s="25">
        <v>45496</v>
      </c>
      <c r="B26" s="11">
        <f>IF(A26&lt;&gt;"",INDEX('[1]01-数据'!$C$2:$ND$2,MATCH(A26,'[1]01-数据'!$C$1:$ND$1))," ")</f>
        <v>324.63</v>
      </c>
      <c r="C26" s="11">
        <f>IF(A26&lt;&gt;"",INDEX('[1]01-数据'!$C$3:$ND$3,MATCH(A26,'[1]01-数据'!$C$1:$ND$1))," ")</f>
        <v>6758.94</v>
      </c>
      <c r="D26" s="12">
        <f>IF(A26&lt;&gt;"",INDEX('[1]01-数据'!$C$4:$ND$4,MATCH(A26,'[1]01-数据'!$C$1:$ND$1))," ")</f>
        <v>0.0436</v>
      </c>
      <c r="E26" s="11">
        <f>IF(A26&lt;&gt;"",INDEX('[1]01-数据'!$C$6:$ND$6,MATCH(A26,'[1]01-数据'!$C$1:$ND$1))," ")</f>
        <v>51848.91</v>
      </c>
      <c r="F26" s="15">
        <f>IF(A26&lt;&gt;"",INDEX('[1]01-数据'!$C$7:$ND$7,MATCH(A26,'[1]01-数据'!$C$1:$ND$1))," ")</f>
        <v>0.0761</v>
      </c>
      <c r="G26" s="11">
        <f>IF(A26&lt;&gt;"",INDEX('[1]01-数据'!$C$11:$ND$11,MATCH(A26,'[1]01-数据'!$C$1:$ND$1))," ")</f>
        <v>14.37</v>
      </c>
      <c r="H26" s="11">
        <f>IF(A26&lt;&gt;"",INDEX('[1]01-数据'!$C$14:$ND$14,MATCH(A26,'[1]01-数据'!$C$1:$ND$1))," ")</f>
        <v>10.87</v>
      </c>
    </row>
    <row r="27" spans="1:8">
      <c r="A27" s="25">
        <v>45497</v>
      </c>
      <c r="B27" s="11">
        <f>IF(A27&lt;&gt;"",INDEX('[1]01-数据'!$C$2:$ND$2,MATCH(A27,'[1]01-数据'!$C$1:$ND$1))," ")</f>
        <v>325.29</v>
      </c>
      <c r="C27" s="11">
        <f>IF(A27&lt;&gt;"",INDEX('[1]01-数据'!$C$3:$ND$3,MATCH(A27,'[1]01-数据'!$C$1:$ND$1))," ")</f>
        <v>7084.23</v>
      </c>
      <c r="D27" s="12">
        <f>IF(A27&lt;&gt;"",INDEX('[1]01-数据'!$C$4:$ND$4,MATCH(A27,'[1]01-数据'!$C$1:$ND$1))," ")</f>
        <v>0.0471</v>
      </c>
      <c r="E27" s="11">
        <f>IF(A27&lt;&gt;"",INDEX('[1]01-数据'!$C$6:$ND$6,MATCH(A27,'[1]01-数据'!$C$1:$ND$1))," ")</f>
        <v>52174.19</v>
      </c>
      <c r="F27" s="15">
        <f>IF(A27&lt;&gt;"",INDEX('[1]01-数据'!$C$7:$ND$7,MATCH(A27,'[1]01-数据'!$C$1:$ND$1))," ")</f>
        <v>0.0764</v>
      </c>
      <c r="G27" s="11">
        <f>IF(A27&lt;&gt;"",INDEX('[1]01-数据'!$C$11:$ND$11,MATCH(A27,'[1]01-数据'!$C$1:$ND$1))," ")</f>
        <v>14.51</v>
      </c>
      <c r="H27" s="11">
        <f>IF(A27&lt;&gt;"",INDEX('[1]01-数据'!$C$14:$ND$14,MATCH(A27,'[1]01-数据'!$C$1:$ND$1))," ")</f>
        <v>11.1</v>
      </c>
    </row>
    <row r="28" spans="1:8">
      <c r="A28" s="25">
        <v>45498</v>
      </c>
      <c r="B28" s="11">
        <f>IF(A28&lt;&gt;"",INDEX('[1]01-数据'!$C$2:$ND$2,MATCH(A28,'[1]01-数据'!$C$1:$ND$1))," ")</f>
        <v>314.63</v>
      </c>
      <c r="C28" s="11">
        <f>IF(A28&lt;&gt;"",INDEX('[1]01-数据'!$C$3:$ND$3,MATCH(A28,'[1]01-数据'!$C$1:$ND$1))," ")</f>
        <v>7398.86</v>
      </c>
      <c r="D28" s="12">
        <f>IF(A28&lt;&gt;"",INDEX('[1]01-数据'!$C$4:$ND$4,MATCH(A28,'[1]01-数据'!$C$1:$ND$1))," ")</f>
        <v>0.0489</v>
      </c>
      <c r="E28" s="11">
        <f>IF(A28&lt;&gt;"",INDEX('[1]01-数据'!$C$6:$ND$6,MATCH(A28,'[1]01-数据'!$C$1:$ND$1))," ")</f>
        <v>52488.83</v>
      </c>
      <c r="F28" s="15">
        <f>IF(A28&lt;&gt;"",INDEX('[1]01-数据'!$C$7:$ND$7,MATCH(A28,'[1]01-数据'!$C$1:$ND$1))," ")</f>
        <v>0.0764</v>
      </c>
      <c r="G28" s="11">
        <f>IF(A28&lt;&gt;"",INDEX('[1]01-数据'!$C$11:$ND$11,MATCH(A28,'[1]01-数据'!$C$1:$ND$1))," ")</f>
        <v>13.79</v>
      </c>
      <c r="H28" s="11">
        <f>IF(A28&lt;&gt;"",INDEX('[1]01-数据'!$C$14:$ND$14,MATCH(A28,'[1]01-数据'!$C$1:$ND$1))," ")</f>
        <v>10.86</v>
      </c>
    </row>
    <row r="29" spans="1:8">
      <c r="A29" s="25">
        <v>45499</v>
      </c>
      <c r="B29" s="11">
        <f>IF(A29&lt;&gt;"",INDEX('[1]01-数据'!$C$2:$ND$2,MATCH(A29,'[1]01-数据'!$C$1:$ND$1))," ")</f>
        <v>309.87</v>
      </c>
      <c r="C29" s="11">
        <f>IF(A29&lt;&gt;"",INDEX('[1]01-数据'!$C$3:$ND$3,MATCH(A29,'[1]01-数据'!$C$1:$ND$1))," ")</f>
        <v>7708.73</v>
      </c>
      <c r="D29" s="12">
        <f>IF(A29&lt;&gt;"",INDEX('[1]01-数据'!$C$4:$ND$4,MATCH(A29,'[1]01-数据'!$C$1:$ND$1))," ")</f>
        <v>0.0498</v>
      </c>
      <c r="E29" s="11">
        <f>IF(A29&lt;&gt;"",INDEX('[1]01-数据'!$C$6:$ND$6,MATCH(A29,'[1]01-数据'!$C$1:$ND$1))," ")</f>
        <v>52798.7</v>
      </c>
      <c r="F29" s="15">
        <f>IF(A29&lt;&gt;"",INDEX('[1]01-数据'!$C$7:$ND$7,MATCH(A29,'[1]01-数据'!$C$1:$ND$1))," ")</f>
        <v>0.0764</v>
      </c>
      <c r="G29" s="11">
        <f>IF(A29&lt;&gt;"",INDEX('[1]01-数据'!$C$11:$ND$11,MATCH(A29,'[1]01-数据'!$C$1:$ND$1))," ")</f>
        <v>13.58</v>
      </c>
      <c r="H29" s="11">
        <f>IF(A29&lt;&gt;"",INDEX('[1]01-数据'!$C$14:$ND$14,MATCH(A29,'[1]01-数据'!$C$1:$ND$1))," ")</f>
        <v>10.7</v>
      </c>
    </row>
    <row r="30" spans="1:8">
      <c r="A30" s="26">
        <v>45500</v>
      </c>
      <c r="B30" s="8">
        <f>IF(A30&lt;&gt;"",INDEX('[1]01-数据'!$C$2:$ND$2,MATCH(A30,'[1]01-数据'!$C$1:$ND$1))," ")</f>
        <v>297.82</v>
      </c>
      <c r="C30" s="8">
        <f>IF(A30&lt;&gt;"",INDEX('[1]01-数据'!$C$3:$ND$3,MATCH(A30,'[1]01-数据'!$C$1:$ND$1))," ")</f>
        <v>8006.54</v>
      </c>
      <c r="D30" s="9">
        <f>IF(A30&lt;&gt;"",INDEX('[1]01-数据'!$C$4:$ND$4,MATCH(A30,'[1]01-数据'!$C$1:$ND$1))," ")</f>
        <v>0.0494</v>
      </c>
      <c r="E30" s="8">
        <f>IF(A30&lt;&gt;"",INDEX('[1]01-数据'!$C$6:$ND$6,MATCH(A30,'[1]01-数据'!$C$1:$ND$1))," ")</f>
        <v>53096.51</v>
      </c>
      <c r="F30" s="14">
        <f>IF(A30&lt;&gt;"",INDEX('[1]01-数据'!$C$7:$ND$7,MATCH(A30,'[1]01-数据'!$C$1:$ND$1))," ")</f>
        <v>0.0762</v>
      </c>
      <c r="G30" s="8">
        <f>IF(A30&lt;&gt;"",INDEX('[1]01-数据'!$C$11:$ND$11,MATCH(A30,'[1]01-数据'!$C$1:$ND$1))," ")</f>
        <v>13.05</v>
      </c>
      <c r="H30" s="8">
        <f>IF(A30&lt;&gt;"",INDEX('[1]01-数据'!$C$14:$ND$14,MATCH(A30,'[1]01-数据'!$C$1:$ND$1))," ")</f>
        <v>10.49</v>
      </c>
    </row>
    <row r="31" spans="1:8">
      <c r="A31" s="26">
        <v>45501</v>
      </c>
      <c r="B31" s="8">
        <f>IF(A31&lt;&gt;"",INDEX('[1]01-数据'!$C$2:$ND$2,MATCH(A31,'[1]01-数据'!$C$1:$ND$1))," ")</f>
        <v>287.03</v>
      </c>
      <c r="C31" s="8">
        <f>IF(A31&lt;&gt;"",INDEX('[1]01-数据'!$C$3:$ND$3,MATCH(A31,'[1]01-数据'!$C$1:$ND$1))," ")</f>
        <v>8293.57</v>
      </c>
      <c r="D31" s="9">
        <f>IF(A31&lt;&gt;"",INDEX('[1]01-数据'!$C$4:$ND$4,MATCH(A31,'[1]01-数据'!$C$1:$ND$1))," ")</f>
        <v>0.0487</v>
      </c>
      <c r="E31" s="8">
        <f>IF(A31&lt;&gt;"",INDEX('[1]01-数据'!$C$6:$ND$6,MATCH(A31,'[1]01-数据'!$C$1:$ND$1))," ")</f>
        <v>53383.54</v>
      </c>
      <c r="F31" s="14">
        <f>IF(A31&lt;&gt;"",INDEX('[1]01-数据'!$C$7:$ND$7,MATCH(A31,'[1]01-数据'!$C$1:$ND$1))," ")</f>
        <v>0.0759</v>
      </c>
      <c r="G31" s="8">
        <f>IF(A31&lt;&gt;"",INDEX('[1]01-数据'!$C$11:$ND$11,MATCH(A31,'[1]01-数据'!$C$1:$ND$1))," ")</f>
        <v>12.44</v>
      </c>
      <c r="H31" s="8">
        <f>IF(A31&lt;&gt;"",INDEX('[1]01-数据'!$C$14:$ND$14,MATCH(A31,'[1]01-数据'!$C$1:$ND$1))," ")</f>
        <v>10.06</v>
      </c>
    </row>
    <row r="32" spans="1:8">
      <c r="A32" s="25">
        <v>45502</v>
      </c>
      <c r="B32" s="11">
        <f>IF(A32&lt;&gt;"",INDEX('[1]01-数据'!$C$2:$ND$2,MATCH(A32,'[1]01-数据'!$C$1:$ND$1))," ")</f>
        <v>298.03</v>
      </c>
      <c r="C32" s="11">
        <f>IF(A32&lt;&gt;"",INDEX('[1]01-数据'!$C$3:$ND$3,MATCH(A32,'[1]01-数据'!$C$1:$ND$1))," ")</f>
        <v>8591.6</v>
      </c>
      <c r="D32" s="12">
        <f>IF(A32&lt;&gt;"",INDEX('[1]01-数据'!$C$4:$ND$4,MATCH(A32,'[1]01-数据'!$C$1:$ND$1))," ")</f>
        <v>0.0507</v>
      </c>
      <c r="E32" s="11">
        <f>IF(A32&lt;&gt;"",INDEX('[1]01-数据'!$C$6:$ND$6,MATCH(A32,'[1]01-数据'!$C$1:$ND$1))," ")</f>
        <v>53681.57</v>
      </c>
      <c r="F32" s="15">
        <f>IF(A32&lt;&gt;"",INDEX('[1]01-数据'!$C$7:$ND$7,MATCH(A32,'[1]01-数据'!$C$1:$ND$1))," ")</f>
        <v>0.0761</v>
      </c>
      <c r="G32" s="11">
        <f>IF(A32&lt;&gt;"",INDEX('[1]01-数据'!$C$11:$ND$11,MATCH(A32,'[1]01-数据'!$C$1:$ND$1))," ")</f>
        <v>13.38</v>
      </c>
      <c r="H32" s="11">
        <f>IF(A32&lt;&gt;"",INDEX('[1]01-数据'!$C$14:$ND$14,MATCH(A32,'[1]01-数据'!$C$1:$ND$1))," ")</f>
        <v>9.84</v>
      </c>
    </row>
    <row r="33" spans="1:8">
      <c r="A33" s="25">
        <v>45503</v>
      </c>
      <c r="B33" s="11">
        <f>IF(A33&lt;&gt;"",INDEX('[1]01-数据'!$C$2:$ND$2,MATCH(A33,'[1]01-数据'!$C$1:$ND$1))," ")</f>
        <v>300.4</v>
      </c>
      <c r="C33" s="11">
        <f>IF(A33&lt;&gt;"",INDEX('[1]01-数据'!$C$3:$ND$3,MATCH(A33,'[1]01-数据'!$C$1:$ND$1))," ")</f>
        <v>8892</v>
      </c>
      <c r="D33" s="12">
        <f>IF(A33&lt;&gt;"",INDEX('[1]01-数据'!$C$4:$ND$4,MATCH(A33,'[1]01-数据'!$C$1:$ND$1))," ")</f>
        <v>0.0539</v>
      </c>
      <c r="E33" s="11">
        <f>IF(A33&lt;&gt;"",INDEX('[1]01-数据'!$C$6:$ND$6,MATCH(A33,'[1]01-数据'!$C$1:$ND$1))," ")</f>
        <v>53981.97</v>
      </c>
      <c r="F33" s="15">
        <f>IF(A33&lt;&gt;"",INDEX('[1]01-数据'!$C$7:$ND$7,MATCH(A33,'[1]01-数据'!$C$1:$ND$1))," ")</f>
        <v>0.0765</v>
      </c>
      <c r="G33" s="11">
        <f>IF(A33&lt;&gt;"",INDEX('[1]01-数据'!$C$11:$ND$11,MATCH(A33,'[1]01-数据'!$C$1:$ND$1))," ")</f>
        <v>13.41</v>
      </c>
      <c r="H33" s="11">
        <f>IF(A33&lt;&gt;"",INDEX('[1]01-数据'!$C$14:$ND$14,MATCH(A33,'[1]01-数据'!$C$1:$ND$1))," ")</f>
        <v>10.08</v>
      </c>
    </row>
    <row r="34" spans="1:8">
      <c r="A34" s="25">
        <v>45504</v>
      </c>
      <c r="B34" s="11">
        <f>IF(A34&lt;&gt;"",INDEX('[1]01-数据'!$C$2:$ND$2,MATCH(A34,'[1]01-数据'!$C$1:$ND$1))," ")</f>
        <v>304.5</v>
      </c>
      <c r="C34" s="11">
        <f>IF(A34&lt;&gt;"",INDEX('[1]01-数据'!$C$3:$ND$3,MATCH(A34,'[1]01-数据'!$C$1:$ND$1))," ")</f>
        <v>9196.49</v>
      </c>
      <c r="D34" s="12">
        <f>IF(A34&lt;&gt;"",INDEX('[1]01-数据'!$C$4:$ND$4,MATCH(A34,'[1]01-数据'!$C$1:$ND$1))," ")</f>
        <v>0.0559</v>
      </c>
      <c r="E34" s="11">
        <f>IF(A34&lt;&gt;"",INDEX('[1]01-数据'!$C$6:$ND$6,MATCH(A34,'[1]01-数据'!$C$1:$ND$1))," ")</f>
        <v>54286.46</v>
      </c>
      <c r="F34" s="15">
        <f>IF(A34&lt;&gt;"",INDEX('[1]01-数据'!$C$7:$ND$7,MATCH(A34,'[1]01-数据'!$C$1:$ND$1))," ")</f>
        <v>0.0767</v>
      </c>
      <c r="G34" s="11">
        <f>IF(A34&lt;&gt;"",INDEX('[1]01-数据'!$C$11:$ND$11,MATCH(A34,'[1]01-数据'!$C$1:$ND$1))," ")</f>
        <v>13.52</v>
      </c>
      <c r="H34" s="11">
        <f>IF(A34&lt;&gt;"",INDEX('[1]01-数据'!$C$14:$ND$14,MATCH(A34,'[1]01-数据'!$C$1:$ND$1))," ")</f>
        <v>10.17</v>
      </c>
    </row>
    <row r="35" spans="1:8">
      <c r="A35" s="13" t="s">
        <v>11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conditionalFormatting sqref="C4:C34">
    <cfRule type="top10" dxfId="0" priority="2" rank="1"/>
  </conditionalFormatting>
  <conditionalFormatting sqref="E4:E34">
    <cfRule type="top10" dxfId="0" priority="1" rank="1"/>
  </conditionalFormatting>
  <pageMargins left="0.75" right="0.75" top="1" bottom="1" header="0.511805555555556" footer="0.511805555555556"/>
  <pageSetup paperSize="9" scale="9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topLeftCell="A21" workbookViewId="0">
      <selection activeCell="E34" sqref="C34 E34"/>
    </sheetView>
  </sheetViews>
  <sheetFormatPr defaultColWidth="9" defaultRowHeight="14.25"/>
  <cols>
    <col min="1" max="1" width="10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21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10">
        <v>45505</v>
      </c>
      <c r="B4" s="11">
        <f>IF(A4&lt;&gt;"",INDEX('[1]01-数据'!$C$2:$ND$2,MATCH(A4,'[1]01-数据'!$C$1:$ND$1))," ")</f>
        <v>308.94</v>
      </c>
      <c r="C4" s="11">
        <f>IF(A4&lt;&gt;"",INDEX('[1]01-数据'!$C$3:$ND$3,MATCH(A4,'[1]01-数据'!$C$1:$ND$1))," ")</f>
        <v>308.94</v>
      </c>
      <c r="D4" s="12">
        <f>IF(A4&lt;&gt;"",INDEX('[1]01-数据'!$C$4:$ND$4,MATCH(A4,'[1]01-数据'!$C$1:$ND$1))," ")</f>
        <v>0.1246</v>
      </c>
      <c r="E4" s="11">
        <f>IF(A4&lt;&gt;"",INDEX('[1]01-数据'!$C$6:$ND$6,MATCH(A4,'[1]01-数据'!$C$1:$ND$1))," ")</f>
        <v>54595.4</v>
      </c>
      <c r="F4" s="15">
        <f>IF(A4&lt;&gt;"",INDEX('[1]01-数据'!$C$7:$ND$7,MATCH(A4,'[1]01-数据'!$C$1:$ND$1))," ")</f>
        <v>0.077</v>
      </c>
      <c r="G4" s="11">
        <f>IF(A4&lt;&gt;"",INDEX('[1]01-数据'!$C$11:$ND$11,MATCH(A4,'[1]01-数据'!$C$1:$ND$1))," ")</f>
        <v>13.74</v>
      </c>
      <c r="H4" s="11">
        <f>IF(A4&lt;&gt;"",INDEX('[1]01-数据'!$C$14:$ND$14,MATCH(A4,'[1]01-数据'!$C$1:$ND$1))," ")</f>
        <v>10.31</v>
      </c>
    </row>
    <row r="5" spans="1:8">
      <c r="A5" s="10">
        <v>45506</v>
      </c>
      <c r="B5" s="11">
        <f>IF(A5&lt;&gt;"",INDEX('[1]01-数据'!$C$2:$ND$2,MATCH(A5,'[1]01-数据'!$C$1:$ND$1))," ")</f>
        <v>316.16</v>
      </c>
      <c r="C5" s="11">
        <f>IF(A5&lt;&gt;"",INDEX('[1]01-数据'!$C$3:$ND$3,MATCH(A5,'[1]01-数据'!$C$1:$ND$1))," ")</f>
        <v>625.1</v>
      </c>
      <c r="D5" s="12">
        <f>IF(A5&lt;&gt;"",INDEX('[1]01-数据'!$C$4:$ND$4,MATCH(A5,'[1]01-数据'!$C$1:$ND$1))," ")</f>
        <v>0.123</v>
      </c>
      <c r="E5" s="11">
        <f>IF(A5&lt;&gt;"",INDEX('[1]01-数据'!$C$6:$ND$6,MATCH(A5,'[1]01-数据'!$C$1:$ND$1))," ")</f>
        <v>54911.56</v>
      </c>
      <c r="F5" s="15">
        <f>IF(A5&lt;&gt;"",INDEX('[1]01-数据'!$C$7:$ND$7,MATCH(A5,'[1]01-数据'!$C$1:$ND$1))," ")</f>
        <v>0.0722</v>
      </c>
      <c r="G5" s="11">
        <f>IF(A5&lt;&gt;"",INDEX('[1]01-数据'!$C$11:$ND$11,MATCH(A5,'[1]01-数据'!$C$1:$ND$1))," ")</f>
        <v>14.1</v>
      </c>
      <c r="H5" s="11">
        <f>IF(A5&lt;&gt;"",INDEX('[1]01-数据'!$C$14:$ND$14,MATCH(A5,'[1]01-数据'!$C$1:$ND$1))," ")</f>
        <v>10.49</v>
      </c>
    </row>
    <row r="6" spans="1:8">
      <c r="A6" s="7">
        <v>45507</v>
      </c>
      <c r="B6" s="8">
        <f>IF(A6&lt;&gt;"",INDEX('[1]01-数据'!$C$2:$ND$2,MATCH(A6,'[1]01-数据'!$C$1:$ND$1))," ")</f>
        <v>315.94</v>
      </c>
      <c r="C6" s="8">
        <f>IF(A6&lt;&gt;"",INDEX('[1]01-数据'!$C$3:$ND$3,MATCH(A6,'[1]01-数据'!$C$1:$ND$1))," ")</f>
        <v>941.03</v>
      </c>
      <c r="D6" s="9">
        <f>IF(A6&lt;&gt;"",INDEX('[1]01-数据'!$C$4:$ND$4,MATCH(A6,'[1]01-数据'!$C$1:$ND$1))," ")</f>
        <v>0.1099</v>
      </c>
      <c r="E6" s="8">
        <f>IF(A6&lt;&gt;"",INDEX('[1]01-数据'!$C$6:$ND$6,MATCH(A6,'[1]01-数据'!$C$1:$ND$1))," ")</f>
        <v>55227.5</v>
      </c>
      <c r="F6" s="14">
        <f>IF(A6&lt;&gt;"",INDEX('[1]01-数据'!$C$7:$ND$7,MATCH(A6,'[1]01-数据'!$C$1:$ND$1))," ")</f>
        <v>0.0773</v>
      </c>
      <c r="G6" s="8">
        <f>IF(A6&lt;&gt;"",INDEX('[1]01-数据'!$C$11:$ND$11,MATCH(A6,'[1]01-数据'!$C$1:$ND$1))," ")</f>
        <v>14</v>
      </c>
      <c r="H6" s="8">
        <f>IF(A6&lt;&gt;"",INDEX('[1]01-数据'!$C$14:$ND$14,MATCH(A6,'[1]01-数据'!$C$1:$ND$1))," ")</f>
        <v>10.77</v>
      </c>
    </row>
    <row r="7" spans="1:8">
      <c r="A7" s="7">
        <v>45508</v>
      </c>
      <c r="B7" s="8">
        <f>IF(A7&lt;&gt;"",INDEX('[1]01-数据'!$C$2:$ND$2,MATCH(A7,'[1]01-数据'!$C$1:$ND$1))," ")</f>
        <v>307.42</v>
      </c>
      <c r="C7" s="8">
        <f>IF(A7&lt;&gt;"",INDEX('[1]01-数据'!$C$3:$ND$3,MATCH(A7,'[1]01-数据'!$C$1:$ND$1))," ")</f>
        <v>1248.45</v>
      </c>
      <c r="D7" s="9">
        <f>IF(A7&lt;&gt;"",INDEX('[1]01-数据'!$C$4:$ND$4,MATCH(A7,'[1]01-数据'!$C$1:$ND$1))," ")</f>
        <v>0.0877</v>
      </c>
      <c r="E7" s="8">
        <f>IF(A7&lt;&gt;"",INDEX('[1]01-数据'!$C$6:$ND$6,MATCH(A7,'[1]01-数据'!$C$1:$ND$1))," ")</f>
        <v>55534.91</v>
      </c>
      <c r="F7" s="14">
        <f>IF(A7&lt;&gt;"",INDEX('[1]01-数据'!$C$7:$ND$7,MATCH(A7,'[1]01-数据'!$C$1:$ND$1))," ")</f>
        <v>0.077</v>
      </c>
      <c r="G7" s="8">
        <f>IF(A7&lt;&gt;"",INDEX('[1]01-数据'!$C$11:$ND$11,MATCH(A7,'[1]01-数据'!$C$1:$ND$1))," ")</f>
        <v>13.47</v>
      </c>
      <c r="H7" s="8">
        <f>IF(A7&lt;&gt;"",INDEX('[1]01-数据'!$C$14:$ND$14,MATCH(A7,'[1]01-数据'!$C$1:$ND$1))," ")</f>
        <v>10.7</v>
      </c>
    </row>
    <row r="8" spans="1:8">
      <c r="A8" s="10">
        <v>45509</v>
      </c>
      <c r="B8" s="11">
        <f>IF(A8&lt;&gt;"",INDEX('[1]01-数据'!$C$2:$ND$2,MATCH(A8,'[1]01-数据'!$C$1:$ND$1))," ")</f>
        <v>315.35</v>
      </c>
      <c r="C8" s="11">
        <f>IF(A8&lt;&gt;"",INDEX('[1]01-数据'!$C$3:$ND$3,MATCH(A8,'[1]01-数据'!$C$1:$ND$1))," ")</f>
        <v>1563.8</v>
      </c>
      <c r="D8" s="12">
        <f>IF(A8&lt;&gt;"",INDEX('[1]01-数据'!$C$4:$ND$4,MATCH(A8,'[1]01-数据'!$C$1:$ND$1))," ")</f>
        <v>0.0837</v>
      </c>
      <c r="E8" s="11">
        <f>IF(A8&lt;&gt;"",INDEX('[1]01-数据'!$C$6:$ND$6,MATCH(A8,'[1]01-数据'!$C$1:$ND$1))," ")</f>
        <v>55850.27</v>
      </c>
      <c r="F8" s="15">
        <f>IF(A8&lt;&gt;"",INDEX('[1]01-数据'!$C$7:$ND$7,MATCH(A8,'[1]01-数据'!$C$1:$ND$1))," ")</f>
        <v>0.0769</v>
      </c>
      <c r="G8" s="11">
        <f>IF(A8&lt;&gt;"",INDEX('[1]01-数据'!$C$11:$ND$11,MATCH(A8,'[1]01-数据'!$C$1:$ND$1))," ")</f>
        <v>14.11</v>
      </c>
      <c r="H8" s="11">
        <f>IF(A8&lt;&gt;"",INDEX('[1]01-数据'!$C$14:$ND$14,MATCH(A8,'[1]01-数据'!$C$1:$ND$1))," ")</f>
        <v>10.48</v>
      </c>
    </row>
    <row r="9" spans="1:8">
      <c r="A9" s="10">
        <v>45510</v>
      </c>
      <c r="B9" s="11">
        <f>IF(A9&lt;&gt;"",INDEX('[1]01-数据'!$C$2:$ND$2,MATCH(A9,'[1]01-数据'!$C$1:$ND$1))," ")</f>
        <v>316.72</v>
      </c>
      <c r="C9" s="11">
        <f>IF(A9&lt;&gt;"",INDEX('[1]01-数据'!$C$3:$ND$3,MATCH(A9,'[1]01-数据'!$C$1:$ND$1))," ")</f>
        <v>1880.53</v>
      </c>
      <c r="D9" s="12">
        <f>IF(A9&lt;&gt;"",INDEX('[1]01-数据'!$C$4:$ND$4,MATCH(A9,'[1]01-数据'!$C$1:$ND$1))," ")</f>
        <v>0.0901</v>
      </c>
      <c r="E9" s="11">
        <f>IF(A9&lt;&gt;"",INDEX('[1]01-数据'!$C$6:$ND$6,MATCH(A9,'[1]01-数据'!$C$1:$ND$1))," ")</f>
        <v>56166.99</v>
      </c>
      <c r="F9" s="15">
        <f>IF(A9&lt;&gt;"",INDEX('[1]01-数据'!$C$7:$ND$7,MATCH(A9,'[1]01-数据'!$C$1:$ND$1))," ")</f>
        <v>0.0772</v>
      </c>
      <c r="G9" s="11">
        <f>IF(A9&lt;&gt;"",INDEX('[1]01-数据'!$C$11:$ND$11,MATCH(A9,'[1]01-数据'!$C$1:$ND$1))," ")</f>
        <v>14.18</v>
      </c>
      <c r="H9" s="11">
        <f>IF(A9&lt;&gt;"",INDEX('[1]01-数据'!$C$14:$ND$14,MATCH(A9,'[1]01-数据'!$C$1:$ND$1))," ")</f>
        <v>10.67</v>
      </c>
    </row>
    <row r="10" spans="1:8">
      <c r="A10" s="10">
        <v>45511</v>
      </c>
      <c r="B10" s="11">
        <f>IF(A10&lt;&gt;"",INDEX('[1]01-数据'!$C$2:$ND$2,MATCH(A10,'[1]01-数据'!$C$1:$ND$1))," ")</f>
        <v>316.68</v>
      </c>
      <c r="C10" s="11">
        <f>IF(A10&lt;&gt;"",INDEX('[1]01-数据'!$C$3:$ND$3,MATCH(A10,'[1]01-数据'!$C$1:$ND$1))," ")</f>
        <v>2197.21</v>
      </c>
      <c r="D10" s="12">
        <f>IF(A10&lt;&gt;"",INDEX('[1]01-数据'!$C$4:$ND$4,MATCH(A10,'[1]01-数据'!$C$1:$ND$1))," ")</f>
        <v>0.092</v>
      </c>
      <c r="E10" s="11">
        <f>IF(A10&lt;&gt;"",INDEX('[1]01-数据'!$C$6:$ND$6,MATCH(A10,'[1]01-数据'!$C$1:$ND$1))," ")</f>
        <v>56483.67</v>
      </c>
      <c r="F10" s="15">
        <f>IF(A10&lt;&gt;"",INDEX('[1]01-数据'!$C$7:$ND$7,MATCH(A10,'[1]01-数据'!$C$1:$ND$1))," ")</f>
        <v>0.0773</v>
      </c>
      <c r="G10" s="11">
        <f>IF(A10&lt;&gt;"",INDEX('[1]01-数据'!$C$11:$ND$11,MATCH(A10,'[1]01-数据'!$C$1:$ND$1))," ")</f>
        <v>14.15</v>
      </c>
      <c r="H10" s="11">
        <f>IF(A10&lt;&gt;"",INDEX('[1]01-数据'!$C$14:$ND$14,MATCH(A10,'[1]01-数据'!$C$1:$ND$1))," ")</f>
        <v>10.68</v>
      </c>
    </row>
    <row r="11" spans="1:8">
      <c r="A11" s="10">
        <v>45512</v>
      </c>
      <c r="B11" s="11">
        <f>IF(A11&lt;&gt;"",INDEX('[1]01-数据'!$C$2:$ND$2,MATCH(A11,'[1]01-数据'!$C$1:$ND$1))," ")</f>
        <v>318.57</v>
      </c>
      <c r="C11" s="11">
        <f>IF(A11&lt;&gt;"",INDEX('[1]01-数据'!$C$3:$ND$3,MATCH(A11,'[1]01-数据'!$C$1:$ND$1))," ")</f>
        <v>2515.78</v>
      </c>
      <c r="D11" s="12">
        <f>IF(A11&lt;&gt;"",INDEX('[1]01-数据'!$C$4:$ND$4,MATCH(A11,'[1]01-数据'!$C$1:$ND$1))," ")</f>
        <v>0.093</v>
      </c>
      <c r="E11" s="11">
        <f>IF(A11&lt;&gt;"",INDEX('[1]01-数据'!$C$6:$ND$6,MATCH(A11,'[1]01-数据'!$C$1:$ND$1))," ")</f>
        <v>56802.24</v>
      </c>
      <c r="F11" s="15">
        <f>IF(A11&lt;&gt;"",INDEX('[1]01-数据'!$C$7:$ND$7,MATCH(A11,'[1]01-数据'!$C$1:$ND$1))," ")</f>
        <v>0.0775</v>
      </c>
      <c r="G11" s="11">
        <f>IF(A11&lt;&gt;"",INDEX('[1]01-数据'!$C$11:$ND$11,MATCH(A11,'[1]01-数据'!$C$1:$ND$1))," ")</f>
        <v>14.16</v>
      </c>
      <c r="H11" s="11">
        <f>IF(A11&lt;&gt;"",INDEX('[1]01-数据'!$C$14:$ND$14,MATCH(A11,'[1]01-数据'!$C$1:$ND$1))," ")</f>
        <v>10.73</v>
      </c>
    </row>
    <row r="12" spans="1:8">
      <c r="A12" s="10">
        <v>45513</v>
      </c>
      <c r="B12" s="11">
        <f>IF(A12&lt;&gt;"",INDEX('[1]01-数据'!$C$2:$ND$2,MATCH(A12,'[1]01-数据'!$C$1:$ND$1))," ")</f>
        <v>318.17</v>
      </c>
      <c r="C12" s="11">
        <f>IF(A12&lt;&gt;"",INDEX('[1]01-数据'!$C$3:$ND$3,MATCH(A12,'[1]01-数据'!$C$1:$ND$1))," ")</f>
        <v>2833.95</v>
      </c>
      <c r="D12" s="12">
        <f>IF(A12&lt;&gt;"",INDEX('[1]01-数据'!$C$4:$ND$4,MATCH(A12,'[1]01-数据'!$C$1:$ND$1))," ")</f>
        <v>0.0923</v>
      </c>
      <c r="E12" s="11">
        <f>IF(A12&lt;&gt;"",INDEX('[1]01-数据'!$C$6:$ND$6,MATCH(A12,'[1]01-数据'!$C$1:$ND$1))," ")</f>
        <v>57120.41</v>
      </c>
      <c r="F12" s="15">
        <f>IF(A12&lt;&gt;"",INDEX('[1]01-数据'!$C$7:$ND$7,MATCH(A12,'[1]01-数据'!$C$1:$ND$1))," ")</f>
        <v>0.0775</v>
      </c>
      <c r="G12" s="11">
        <f>IF(A12&lt;&gt;"",INDEX('[1]01-数据'!$C$11:$ND$11,MATCH(A12,'[1]01-数据'!$C$1:$ND$1))," ")</f>
        <v>14.13</v>
      </c>
      <c r="H12" s="11">
        <f>IF(A12&lt;&gt;"",INDEX('[1]01-数据'!$C$14:$ND$14,MATCH(A12,'[1]01-数据'!$C$1:$ND$1))," ")</f>
        <v>10.85</v>
      </c>
    </row>
    <row r="13" spans="1:11">
      <c r="A13" s="7">
        <v>45514</v>
      </c>
      <c r="B13" s="8">
        <f>IF(A13&lt;&gt;"",INDEX('[1]01-数据'!$C$2:$ND$2,MATCH(A13,'[1]01-数据'!$C$1:$ND$1))," ")</f>
        <v>311.46</v>
      </c>
      <c r="C13" s="8">
        <f>IF(A13&lt;&gt;"",INDEX('[1]01-数据'!$C$3:$ND$3,MATCH(A13,'[1]01-数据'!$C$1:$ND$1))," ")</f>
        <v>3145.41</v>
      </c>
      <c r="D13" s="9">
        <f>IF(A13&lt;&gt;"",INDEX('[1]01-数据'!$C$4:$ND$4,MATCH(A13,'[1]01-数据'!$C$1:$ND$1))," ")</f>
        <v>0.089</v>
      </c>
      <c r="E13" s="8">
        <f>IF(A13&lt;&gt;"",INDEX('[1]01-数据'!$C$6:$ND$6,MATCH(A13,'[1]01-数据'!$C$1:$ND$1))," ")</f>
        <v>57431.87</v>
      </c>
      <c r="F13" s="14">
        <f>IF(A13&lt;&gt;"",INDEX('[1]01-数据'!$C$7:$ND$7,MATCH(A13,'[1]01-数据'!$C$1:$ND$1))," ")</f>
        <v>0.0774</v>
      </c>
      <c r="G13" s="8">
        <f>IF(A13&lt;&gt;"",INDEX('[1]01-数据'!$C$11:$ND$11,MATCH(A13,'[1]01-数据'!$C$1:$ND$1))," ")</f>
        <v>13.73</v>
      </c>
      <c r="H13" s="8">
        <f>IF(A13&lt;&gt;"",INDEX('[1]01-数据'!$C$14:$ND$14,MATCH(A13,'[1]01-数据'!$C$1:$ND$1))," ")</f>
        <v>10.77</v>
      </c>
      <c r="K13" s="17"/>
    </row>
    <row r="14" spans="1:11">
      <c r="A14" s="7">
        <v>45515</v>
      </c>
      <c r="B14" s="8">
        <f>IF(A14&lt;&gt;"",INDEX('[1]01-数据'!$C$2:$ND$2,MATCH(A14,'[1]01-数据'!$C$1:$ND$1))," ")</f>
        <v>302.18</v>
      </c>
      <c r="C14" s="8">
        <f>IF(A14&lt;&gt;"",INDEX('[1]01-数据'!$C$3:$ND$3,MATCH(A14,'[1]01-数据'!$C$1:$ND$1))," ")</f>
        <v>3447.58</v>
      </c>
      <c r="D14" s="9">
        <f>IF(A14&lt;&gt;"",INDEX('[1]01-数据'!$C$4:$ND$4,MATCH(A14,'[1]01-数据'!$C$1:$ND$1))," ")</f>
        <v>0.0836</v>
      </c>
      <c r="E14" s="8">
        <f>IF(A14&lt;&gt;"",INDEX('[1]01-数据'!$C$6:$ND$6,MATCH(A14,'[1]01-数据'!$C$1:$ND$1))," ")</f>
        <v>57734.05</v>
      </c>
      <c r="F14" s="14">
        <f>IF(A14&lt;&gt;"",INDEX('[1]01-数据'!$C$7:$ND$7,MATCH(A14,'[1]01-数据'!$C$1:$ND$1))," ")</f>
        <v>0.0772</v>
      </c>
      <c r="G14" s="8">
        <f>IF(A14&lt;&gt;"",INDEX('[1]01-数据'!$C$11:$ND$11,MATCH(A14,'[1]01-数据'!$C$1:$ND$1))," ")</f>
        <v>13.21</v>
      </c>
      <c r="H14" s="8">
        <f>IF(A14&lt;&gt;"",INDEX('[1]01-数据'!$C$14:$ND$14,MATCH(A14,'[1]01-数据'!$C$1:$ND$1))," ")</f>
        <v>10.58</v>
      </c>
      <c r="K14" s="17"/>
    </row>
    <row r="15" spans="1:11">
      <c r="A15" s="10">
        <v>45516</v>
      </c>
      <c r="B15" s="11">
        <f>IF(A15&lt;&gt;"",INDEX('[1]01-数据'!$C$2:$ND$2,MATCH(A15,'[1]01-数据'!$C$1:$ND$1))," ")</f>
        <v>309.66</v>
      </c>
      <c r="C15" s="11">
        <f>IF(A15&lt;&gt;"",INDEX('[1]01-数据'!$C$3:$ND$3,MATCH(A15,'[1]01-数据'!$C$1:$ND$1))," ")</f>
        <v>3757.25</v>
      </c>
      <c r="D15" s="12">
        <f>IF(A15&lt;&gt;"",INDEX('[1]01-数据'!$C$4:$ND$4,MATCH(A15,'[1]01-数据'!$C$1:$ND$1))," ")</f>
        <v>0.0837</v>
      </c>
      <c r="E15" s="11">
        <f>IF(A15&lt;&gt;"",INDEX('[1]01-数据'!$C$6:$ND$6,MATCH(A15,'[1]01-数据'!$C$1:$ND$1))," ")</f>
        <v>58043.71</v>
      </c>
      <c r="F15" s="15">
        <f>IF(A15&lt;&gt;"",INDEX('[1]01-数据'!$C$7:$ND$7,MATCH(A15,'[1]01-数据'!$C$1:$ND$1))," ")</f>
        <v>0.0772</v>
      </c>
      <c r="G15" s="11">
        <f>IF(A15&lt;&gt;"",INDEX('[1]01-数据'!$C$11:$ND$11,MATCH(A15,'[1]01-数据'!$C$1:$ND$1))," ")</f>
        <v>13.91</v>
      </c>
      <c r="H15" s="11">
        <f>IF(A15&lt;&gt;"",INDEX('[1]01-数据'!$C$14:$ND$14,MATCH(A15,'[1]01-数据'!$C$1:$ND$1))," ")</f>
        <v>10.3</v>
      </c>
      <c r="K15" s="17"/>
    </row>
    <row r="16" spans="1:8">
      <c r="A16" s="10">
        <v>45517</v>
      </c>
      <c r="B16" s="11">
        <f>IF(A16&lt;&gt;"",INDEX('[1]01-数据'!$C$2:$ND$2,MATCH(A16,'[1]01-数据'!$C$1:$ND$1))," ")</f>
        <v>307.54</v>
      </c>
      <c r="C16" s="11">
        <f>IF(A16&lt;&gt;"",INDEX('[1]01-数据'!$C$3:$ND$3,MATCH(A16,'[1]01-数据'!$C$1:$ND$1))," ")</f>
        <v>4064.78</v>
      </c>
      <c r="D16" s="12">
        <f>IF(A16&lt;&gt;"",INDEX('[1]01-数据'!$C$4:$ND$4,MATCH(A16,'[1]01-数据'!$C$1:$ND$1))," ")</f>
        <v>0.0855</v>
      </c>
      <c r="E16" s="11">
        <f>IF(A16&lt;&gt;"",INDEX('[1]01-数据'!$C$6:$ND$6,MATCH(A16,'[1]01-数据'!$C$1:$ND$1))," ")</f>
        <v>58351.25</v>
      </c>
      <c r="F16" s="15">
        <f>IF(A16&lt;&gt;"",INDEX('[1]01-数据'!$C$7:$ND$7,MATCH(A16,'[1]01-数据'!$C$1:$ND$1))," ")</f>
        <v>0.0774</v>
      </c>
      <c r="G16" s="11">
        <f>IF(A16&lt;&gt;"",INDEX('[1]01-数据'!$C$11:$ND$11,MATCH(A16,'[1]01-数据'!$C$1:$ND$1))," ")</f>
        <v>13.77</v>
      </c>
      <c r="H16" s="11">
        <f>IF(A16&lt;&gt;"",INDEX('[1]01-数据'!$C$14:$ND$14,MATCH(A16,'[1]01-数据'!$C$1:$ND$1))," ")</f>
        <v>10.44</v>
      </c>
    </row>
    <row r="17" spans="1:8">
      <c r="A17" s="10">
        <v>45518</v>
      </c>
      <c r="B17" s="11">
        <f>IF(A17&lt;&gt;"",INDEX('[1]01-数据'!$C$2:$ND$2,MATCH(A17,'[1]01-数据'!$C$1:$ND$1))," ")</f>
        <v>304.67</v>
      </c>
      <c r="C17" s="11">
        <f>IF(A17&lt;&gt;"",INDEX('[1]01-数据'!$C$3:$ND$3,MATCH(A17,'[1]01-数据'!$C$1:$ND$1))," ")</f>
        <v>4369.45</v>
      </c>
      <c r="D17" s="12">
        <f>IF(A17&lt;&gt;"",INDEX('[1]01-数据'!$C$4:$ND$4,MATCH(A17,'[1]01-数据'!$C$1:$ND$1))," ")</f>
        <v>0.0832</v>
      </c>
      <c r="E17" s="11">
        <f>IF(A17&lt;&gt;"",INDEX('[1]01-数据'!$C$6:$ND$6,MATCH(A17,'[1]01-数据'!$C$1:$ND$1))," ")</f>
        <v>58655.92</v>
      </c>
      <c r="F17" s="15">
        <f>IF(A17&lt;&gt;"",INDEX('[1]01-数据'!$C$7:$ND$7,MATCH(A17,'[1]01-数据'!$C$1:$ND$1))," ")</f>
        <v>0.0772</v>
      </c>
      <c r="G17" s="11">
        <f>IF(A17&lt;&gt;"",INDEX('[1]01-数据'!$C$11:$ND$11,MATCH(A17,'[1]01-数据'!$C$1:$ND$1))," ")</f>
        <v>13.57</v>
      </c>
      <c r="H17" s="11">
        <f>IF(A17&lt;&gt;"",INDEX('[1]01-数据'!$C$14:$ND$14,MATCH(A17,'[1]01-数据'!$C$1:$ND$1))," ")</f>
        <v>10.34</v>
      </c>
    </row>
    <row r="18" spans="1:8">
      <c r="A18" s="10">
        <v>45519</v>
      </c>
      <c r="B18" s="11">
        <f>IF(A18&lt;&gt;"",INDEX('[1]01-数据'!$C$2:$ND$2,MATCH(A18,'[1]01-数据'!$C$1:$ND$1))," ")</f>
        <v>302.24</v>
      </c>
      <c r="C18" s="11">
        <f>IF(A18&lt;&gt;"",INDEX('[1]01-数据'!$C$3:$ND$3,MATCH(A18,'[1]01-数据'!$C$1:$ND$1))," ")</f>
        <v>4671.69</v>
      </c>
      <c r="D18" s="12">
        <f>IF(A18&lt;&gt;"",INDEX('[1]01-数据'!$C$4:$ND$4,MATCH(A18,'[1]01-数据'!$C$1:$ND$1))," ")</f>
        <v>0.0803</v>
      </c>
      <c r="E18" s="11">
        <f>IF(A18&lt;&gt;"",INDEX('[1]01-数据'!$C$6:$ND$6,MATCH(A18,'[1]01-数据'!$C$1:$ND$1))," ")</f>
        <v>58958.16</v>
      </c>
      <c r="F18" s="15">
        <f>IF(A18&lt;&gt;"",INDEX('[1]01-数据'!$C$7:$ND$7,MATCH(A18,'[1]01-数据'!$C$1:$ND$1))," ")</f>
        <v>0.077</v>
      </c>
      <c r="G18" s="11">
        <f>IF(A18&lt;&gt;"",INDEX('[1]01-数据'!$C$11:$ND$11,MATCH(A18,'[1]01-数据'!$C$1:$ND$1))," ")</f>
        <v>13.53</v>
      </c>
      <c r="H18" s="11">
        <f>IF(A18&lt;&gt;"",INDEX('[1]01-数据'!$C$14:$ND$14,MATCH(A18,'[1]01-数据'!$C$1:$ND$1))," ")</f>
        <v>10.27</v>
      </c>
    </row>
    <row r="19" spans="1:8">
      <c r="A19" s="10">
        <v>45520</v>
      </c>
      <c r="B19" s="11">
        <f>IF(A19&lt;&gt;"",INDEX('[1]01-数据'!$C$2:$ND$2,MATCH(A19,'[1]01-数据'!$C$1:$ND$1))," ")</f>
        <v>300.52</v>
      </c>
      <c r="C19" s="11">
        <f>IF(A19&lt;&gt;"",INDEX('[1]01-数据'!$C$3:$ND$3,MATCH(A19,'[1]01-数据'!$C$1:$ND$1))," ")</f>
        <v>4972.22</v>
      </c>
      <c r="D19" s="12">
        <f>IF(A19&lt;&gt;"",INDEX('[1]01-数据'!$C$4:$ND$4,MATCH(A19,'[1]01-数据'!$C$1:$ND$1))," ")</f>
        <v>0.0761</v>
      </c>
      <c r="E19" s="11">
        <f>IF(A19&lt;&gt;"",INDEX('[1]01-数据'!$C$6:$ND$6,MATCH(A19,'[1]01-数据'!$C$1:$ND$1))," ")</f>
        <v>59258.68</v>
      </c>
      <c r="F19" s="15">
        <f>IF(A19&lt;&gt;"",INDEX('[1]01-数据'!$C$7:$ND$7,MATCH(A19,'[1]01-数据'!$C$1:$ND$1))," ")</f>
        <v>0.0767</v>
      </c>
      <c r="G19" s="11">
        <f>IF(A19&lt;&gt;"",INDEX('[1]01-数据'!$C$11:$ND$11,MATCH(A19,'[1]01-数据'!$C$1:$ND$1))," ")</f>
        <v>13.51</v>
      </c>
      <c r="H19" s="11">
        <f>IF(A19&lt;&gt;"",INDEX('[1]01-数据'!$C$14:$ND$14,MATCH(A19,'[1]01-数据'!$C$1:$ND$1))," ")</f>
        <v>10.16</v>
      </c>
    </row>
    <row r="20" spans="1:8">
      <c r="A20" s="7">
        <v>45521</v>
      </c>
      <c r="B20" s="8">
        <f>IF(A20&lt;&gt;"",INDEX('[1]01-数据'!$C$2:$ND$2,MATCH(A20,'[1]01-数据'!$C$1:$ND$1))," ")</f>
        <v>296.29</v>
      </c>
      <c r="C20" s="8">
        <f>IF(A20&lt;&gt;"",INDEX('[1]01-数据'!$C$3:$ND$3,MATCH(A20,'[1]01-数据'!$C$1:$ND$1))," ")</f>
        <v>5269.11</v>
      </c>
      <c r="D20" s="9">
        <f>IF(A20&lt;&gt;"",INDEX('[1]01-数据'!$C$4:$ND$4,MATCH(A20,'[1]01-数据'!$C$1:$ND$1))," ")</f>
        <v>0.0715</v>
      </c>
      <c r="E20" s="8">
        <f>IF(A20&lt;&gt;"",INDEX('[1]01-数据'!$C$6:$ND$6,MATCH(A20,'[1]01-数据'!$C$1:$ND$1))," ")</f>
        <v>59555.57</v>
      </c>
      <c r="F20" s="14">
        <f>IF(A20&lt;&gt;"",INDEX('[1]01-数据'!$C$7:$ND$7,MATCH(A20,'[1]01-数据'!$C$1:$ND$1))," ")</f>
        <v>0.0763</v>
      </c>
      <c r="G20" s="8">
        <f>IF(A20&lt;&gt;"",INDEX('[1]01-数据'!$C$11:$ND$11,MATCH(A20,'[1]01-数据'!$C$1:$ND$1))," ")</f>
        <v>13.12</v>
      </c>
      <c r="H20" s="8">
        <f>IF(A20&lt;&gt;"",INDEX('[1]01-数据'!$C$14:$ND$14,MATCH(A20,'[1]01-数据'!$C$1:$ND$1))," ")</f>
        <v>10.16</v>
      </c>
    </row>
    <row r="21" spans="1:8">
      <c r="A21" s="7">
        <v>45522</v>
      </c>
      <c r="B21" s="8">
        <f>IF(A21&lt;&gt;"",INDEX('[1]01-数据'!$C$2:$ND$2,MATCH(A21,'[1]01-数据'!$C$1:$ND$1))," ")</f>
        <v>286.42</v>
      </c>
      <c r="C21" s="8">
        <f>IF(A21&lt;&gt;"",INDEX('[1]01-数据'!$C$3:$ND$3,MATCH(A21,'[1]01-数据'!$C$1:$ND$1))," ")</f>
        <v>5555.52</v>
      </c>
      <c r="D21" s="9">
        <f>IF(A21&lt;&gt;"",INDEX('[1]01-数据'!$C$4:$ND$4,MATCH(A21,'[1]01-数据'!$C$1:$ND$1))," ")</f>
        <v>0.0659</v>
      </c>
      <c r="E21" s="8">
        <f>IF(A21&lt;&gt;"",INDEX('[1]01-数据'!$C$6:$ND$6,MATCH(A21,'[1]01-数据'!$C$1:$ND$1))," ")</f>
        <v>59841.99</v>
      </c>
      <c r="F21" s="14">
        <f>IF(A21&lt;&gt;"",INDEX('[1]01-数据'!$C$7:$ND$7,MATCH(A21,'[1]01-数据'!$C$1:$ND$1))," ")</f>
        <v>0.0757</v>
      </c>
      <c r="G21" s="8">
        <f>IF(A21&lt;&gt;"",INDEX('[1]01-数据'!$C$11:$ND$11,MATCH(A21,'[1]01-数据'!$C$1:$ND$1))," ")</f>
        <v>12.48</v>
      </c>
      <c r="H21" s="8">
        <f>IF(A21&lt;&gt;"",INDEX('[1]01-数据'!$C$14:$ND$14,MATCH(A21,'[1]01-数据'!$C$1:$ND$1))," ")</f>
        <v>9.96</v>
      </c>
    </row>
    <row r="22" spans="1:8">
      <c r="A22" s="10">
        <v>45523</v>
      </c>
      <c r="B22" s="11">
        <f>IF(A22&lt;&gt;"",INDEX('[1]01-数据'!$C$2:$ND$2,MATCH(A22,'[1]01-数据'!$C$1:$ND$1))," ")</f>
        <v>292.54</v>
      </c>
      <c r="C22" s="11">
        <f>IF(A22&lt;&gt;"",INDEX('[1]01-数据'!$C$3:$ND$3,MATCH(A22,'[1]01-数据'!$C$1:$ND$1))," ")</f>
        <v>5848.06</v>
      </c>
      <c r="D22" s="12">
        <f>IF(A22&lt;&gt;"",INDEX('[1]01-数据'!$C$4:$ND$4,MATCH(A22,'[1]01-数据'!$C$1:$ND$1))," ")</f>
        <v>0.0633</v>
      </c>
      <c r="E22" s="11">
        <f>IF(A22&lt;&gt;"",INDEX('[1]01-数据'!$C$6:$ND$6,MATCH(A22,'[1]01-数据'!$C$1:$ND$1))," ")</f>
        <v>60134.53</v>
      </c>
      <c r="F22" s="15">
        <f>IF(A22&lt;&gt;"",INDEX('[1]01-数据'!$C$7:$ND$7,MATCH(A22,'[1]01-数据'!$C$1:$ND$1))," ")</f>
        <v>0.0754</v>
      </c>
      <c r="G22" s="11">
        <f>IF(A22&lt;&gt;"",INDEX('[1]01-数据'!$C$11:$ND$11,MATCH(A22,'[1]01-数据'!$C$1:$ND$1))," ")</f>
        <v>13.2</v>
      </c>
      <c r="H22" s="11">
        <f>IF(A22&lt;&gt;"",INDEX('[1]01-数据'!$C$14:$ND$14,MATCH(A22,'[1]01-数据'!$C$1:$ND$1))," ")</f>
        <v>9.74</v>
      </c>
    </row>
    <row r="23" spans="1:8">
      <c r="A23" s="10">
        <v>45524</v>
      </c>
      <c r="B23" s="11">
        <f>IF(A23&lt;&gt;"",INDEX('[1]01-数据'!$C$2:$ND$2,MATCH(A23,'[1]01-数据'!$C$1:$ND$1))," ")</f>
        <v>295.81</v>
      </c>
      <c r="C23" s="11">
        <f>IF(A23&lt;&gt;"",INDEX('[1]01-数据'!$C$3:$ND$3,MATCH(A23,'[1]01-数据'!$C$1:$ND$1))," ")</f>
        <v>6143.87</v>
      </c>
      <c r="D23" s="12">
        <f>IF(A23&lt;&gt;"",INDEX('[1]01-数据'!$C$4:$ND$4,MATCH(A23,'[1]01-数据'!$C$1:$ND$1))," ")</f>
        <v>0.0636</v>
      </c>
      <c r="E23" s="11">
        <f>IF(A23&lt;&gt;"",INDEX('[1]01-数据'!$C$6:$ND$6,MATCH(A23,'[1]01-数据'!$C$1:$ND$1))," ")</f>
        <v>60430.34</v>
      </c>
      <c r="F23" s="15">
        <f>IF(A23&lt;&gt;"",INDEX('[1]01-数据'!$C$7:$ND$7,MATCH(A23,'[1]01-数据'!$C$1:$ND$1))," ")</f>
        <v>0.0754</v>
      </c>
      <c r="G23" s="11">
        <f>IF(A23&lt;&gt;"",INDEX('[1]01-数据'!$C$11:$ND$11,MATCH(A23,'[1]01-数据'!$C$1:$ND$1))," ")</f>
        <v>13.1</v>
      </c>
      <c r="H23" s="11">
        <f>IF(A23&lt;&gt;"",INDEX('[1]01-数据'!$C$14:$ND$14,MATCH(A23,'[1]01-数据'!$C$1:$ND$1))," ")</f>
        <v>9.95</v>
      </c>
    </row>
    <row r="24" spans="1:8">
      <c r="A24" s="10">
        <v>45525</v>
      </c>
      <c r="B24" s="11">
        <f>IF(A24&lt;&gt;"",INDEX('[1]01-数据'!$C$2:$ND$2,MATCH(A24,'[1]01-数据'!$C$1:$ND$1))," ")</f>
        <v>296.63</v>
      </c>
      <c r="C24" s="11">
        <f>IF(A24&lt;&gt;"",INDEX('[1]01-数据'!$C$3:$ND$3,MATCH(A24,'[1]01-数据'!$C$1:$ND$1))," ")</f>
        <v>6440.51</v>
      </c>
      <c r="D24" s="12">
        <f>IF(A24&lt;&gt;"",INDEX('[1]01-数据'!$C$4:$ND$4,MATCH(A24,'[1]01-数据'!$C$1:$ND$1))," ")</f>
        <v>0.0632</v>
      </c>
      <c r="E24" s="11">
        <f>IF(A24&lt;&gt;"",INDEX('[1]01-数据'!$C$6:$ND$6,MATCH(A24,'[1]01-数据'!$C$1:$ND$1))," ")</f>
        <v>60726.97</v>
      </c>
      <c r="F24" s="15">
        <f>IF(A24&lt;&gt;"",INDEX('[1]01-数据'!$C$7:$ND$7,MATCH(A24,'[1]01-数据'!$C$1:$ND$1))," ")</f>
        <v>0.0753</v>
      </c>
      <c r="G24" s="11">
        <f>IF(A24&lt;&gt;"",INDEX('[1]01-数据'!$C$11:$ND$11,MATCH(A24,'[1]01-数据'!$C$1:$ND$1))," ")</f>
        <v>13.2</v>
      </c>
      <c r="H24" s="11">
        <f>IF(A24&lt;&gt;"",INDEX('[1]01-数据'!$C$14:$ND$14,MATCH(A24,'[1]01-数据'!$C$1:$ND$1))," ")</f>
        <v>9.99</v>
      </c>
    </row>
    <row r="25" spans="1:8">
      <c r="A25" s="10">
        <v>45526</v>
      </c>
      <c r="B25" s="11">
        <f>IF(A25&lt;&gt;"",INDEX('[1]01-数据'!$C$2:$ND$2,MATCH(A25,'[1]01-数据'!$C$1:$ND$1))," ")</f>
        <v>304.9</v>
      </c>
      <c r="C25" s="11">
        <f>IF(A25&lt;&gt;"",INDEX('[1]01-数据'!$C$3:$ND$3,MATCH(A25,'[1]01-数据'!$C$1:$ND$1))," ")</f>
        <v>6745.41</v>
      </c>
      <c r="D25" s="12">
        <f>IF(A25&lt;&gt;"",INDEX('[1]01-数据'!$C$4:$ND$4,MATCH(A25,'[1]01-数据'!$C$1:$ND$1))," ")</f>
        <v>0.064</v>
      </c>
      <c r="E25" s="11">
        <f>IF(A25&lt;&gt;"",INDEX('[1]01-数据'!$C$6:$ND$6,MATCH(A25,'[1]01-数据'!$C$1:$ND$1))," ")</f>
        <v>61031.87</v>
      </c>
      <c r="F25" s="15">
        <f>IF(A25&lt;&gt;"",INDEX('[1]01-数据'!$C$7:$ND$7,MATCH(A25,'[1]01-数据'!$C$1:$ND$1))," ")</f>
        <v>0.0753</v>
      </c>
      <c r="G25" s="11">
        <f>IF(A25&lt;&gt;"",INDEX('[1]01-数据'!$C$11:$ND$11,MATCH(A25,'[1]01-数据'!$C$1:$ND$1))," ")</f>
        <v>13.57</v>
      </c>
      <c r="H25" s="11">
        <f>IF(A25&lt;&gt;"",INDEX('[1]01-数据'!$C$14:$ND$14,MATCH(A25,'[1]01-数据'!$C$1:$ND$1))," ")</f>
        <v>10.07</v>
      </c>
    </row>
    <row r="26" spans="1:8">
      <c r="A26" s="10">
        <v>45527</v>
      </c>
      <c r="B26" s="11">
        <f>IF(A26&lt;&gt;"",INDEX('[1]01-数据'!$C$2:$ND$2,MATCH(A26,'[1]01-数据'!$C$1:$ND$1))," ")</f>
        <v>313.04</v>
      </c>
      <c r="C26" s="11">
        <f>IF(A26&lt;&gt;"",INDEX('[1]01-数据'!$C$3:$ND$3,MATCH(A26,'[1]01-数据'!$C$1:$ND$1))," ")</f>
        <v>7058.45</v>
      </c>
      <c r="D26" s="12">
        <f>IF(A26&lt;&gt;"",INDEX('[1]01-数据'!$C$4:$ND$4,MATCH(A26,'[1]01-数据'!$C$1:$ND$1))," ")</f>
        <v>0.0664</v>
      </c>
      <c r="E26" s="11">
        <f>IF(A26&lt;&gt;"",INDEX('[1]01-数据'!$C$6:$ND$6,MATCH(A26,'[1]01-数据'!$C$1:$ND$1))," ")</f>
        <v>61344.91</v>
      </c>
      <c r="F26" s="15">
        <f>IF(A26&lt;&gt;"",INDEX('[1]01-数据'!$C$7:$ND$7,MATCH(A26,'[1]01-数据'!$C$1:$ND$1))," ")</f>
        <v>0.0755</v>
      </c>
      <c r="G26" s="11">
        <f>IF(A26&lt;&gt;"",INDEX('[1]01-数据'!$C$11:$ND$11,MATCH(A26,'[1]01-数据'!$C$1:$ND$1))," ")</f>
        <v>14.02</v>
      </c>
      <c r="H26" s="11">
        <f>IF(A26&lt;&gt;"",INDEX('[1]01-数据'!$C$14:$ND$14,MATCH(A26,'[1]01-数据'!$C$1:$ND$1))," ")</f>
        <v>10.4</v>
      </c>
    </row>
    <row r="27" spans="1:8">
      <c r="A27" s="7">
        <v>45528</v>
      </c>
      <c r="B27" s="8">
        <f>IF(A27&lt;&gt;"",INDEX('[1]01-数据'!$C$2:$ND$2,MATCH(A27,'[1]01-数据'!$C$1:$ND$1))," ")</f>
        <v>312.01</v>
      </c>
      <c r="C27" s="8">
        <f>IF(A27&lt;&gt;"",INDEX('[1]01-数据'!$C$3:$ND$3,MATCH(A27,'[1]01-数据'!$C$1:$ND$1))," ")</f>
        <v>7370.46</v>
      </c>
      <c r="D27" s="9">
        <f>IF(A27&lt;&gt;"",INDEX('[1]01-数据'!$C$4:$ND$4,MATCH(A27,'[1]01-数据'!$C$1:$ND$1))," ")</f>
        <v>0.0693</v>
      </c>
      <c r="E27" s="8">
        <f>IF(A27&lt;&gt;"",INDEX('[1]01-数据'!$C$6:$ND$6,MATCH(A27,'[1]01-数据'!$C$1:$ND$1))," ")</f>
        <v>61656.93</v>
      </c>
      <c r="F27" s="14">
        <f>IF(A27&lt;&gt;"",INDEX('[1]01-数据'!$C$7:$ND$7,MATCH(A27,'[1]01-数据'!$C$1:$ND$1))," ")</f>
        <v>0.0759</v>
      </c>
      <c r="G27" s="8">
        <f>IF(A27&lt;&gt;"",INDEX('[1]01-数据'!$C$11:$ND$11,MATCH(A27,'[1]01-数据'!$C$1:$ND$1))," ")</f>
        <v>13.83</v>
      </c>
      <c r="H27" s="8">
        <f>IF(A27&lt;&gt;"",INDEX('[1]01-数据'!$C$14:$ND$14,MATCH(A27,'[1]01-数据'!$C$1:$ND$1))," ")</f>
        <v>10.52</v>
      </c>
    </row>
    <row r="28" spans="1:8">
      <c r="A28" s="7">
        <v>45529</v>
      </c>
      <c r="B28" s="8">
        <f>IF(A28&lt;&gt;"",INDEX('[1]01-数据'!$C$2:$ND$2,MATCH(A28,'[1]01-数据'!$C$1:$ND$1))," ")</f>
        <v>304.54</v>
      </c>
      <c r="C28" s="8">
        <f>IF(A28&lt;&gt;"",INDEX('[1]01-数据'!$C$3:$ND$3,MATCH(A28,'[1]01-数据'!$C$1:$ND$1))," ")</f>
        <v>7675</v>
      </c>
      <c r="D28" s="9">
        <f>IF(A28&lt;&gt;"",INDEX('[1]01-数据'!$C$4:$ND$4,MATCH(A28,'[1]01-数据'!$C$1:$ND$1))," ")</f>
        <v>0.0711</v>
      </c>
      <c r="E28" s="8">
        <f>IF(A28&lt;&gt;"",INDEX('[1]01-数据'!$C$6:$ND$6,MATCH(A28,'[1]01-数据'!$C$1:$ND$1))," ")</f>
        <v>61961.47</v>
      </c>
      <c r="F28" s="14">
        <f>IF(A28&lt;&gt;"",INDEX('[1]01-数据'!$C$7:$ND$7,MATCH(A28,'[1]01-数据'!$C$1:$ND$1))," ")</f>
        <v>0.076</v>
      </c>
      <c r="G28" s="8">
        <f>IF(A28&lt;&gt;"",INDEX('[1]01-数据'!$C$11:$ND$11,MATCH(A28,'[1]01-数据'!$C$1:$ND$1))," ")</f>
        <v>13.31</v>
      </c>
      <c r="H28" s="8">
        <f>IF(A28&lt;&gt;"",INDEX('[1]01-数据'!$C$14:$ND$14,MATCH(A28,'[1]01-数据'!$C$1:$ND$1))," ")</f>
        <v>10.58</v>
      </c>
    </row>
    <row r="29" spans="1:8">
      <c r="A29" s="10">
        <v>45530</v>
      </c>
      <c r="B29" s="11">
        <f>IF(A29&lt;&gt;"",INDEX('[1]01-数据'!$C$2:$ND$2,MATCH(A29,'[1]01-数据'!$C$1:$ND$1))," ")</f>
        <v>306.62</v>
      </c>
      <c r="C29" s="11">
        <f>IF(A29&lt;&gt;"",INDEX('[1]01-数据'!$C$3:$ND$3,MATCH(A29,'[1]01-数据'!$C$1:$ND$1))," ")</f>
        <v>7981.62</v>
      </c>
      <c r="D29" s="12">
        <f>IF(A29&lt;&gt;"",INDEX('[1]01-数据'!$C$4:$ND$4,MATCH(A29,'[1]01-数据'!$C$1:$ND$1))," ")</f>
        <v>0.0744</v>
      </c>
      <c r="E29" s="11">
        <f>IF(A29&lt;&gt;"",INDEX('[1]01-数据'!$C$6:$ND$6,MATCH(A29,'[1]01-数据'!$C$1:$ND$1))," ")</f>
        <v>62268.08</v>
      </c>
      <c r="F29" s="15">
        <f>IF(A29&lt;&gt;"",INDEX('[1]01-数据'!$C$7:$ND$7,MATCH(A29,'[1]01-数据'!$C$1:$ND$1))," ")</f>
        <v>0.0764</v>
      </c>
      <c r="G29" s="11">
        <f>IF(A29&lt;&gt;"",INDEX('[1]01-数据'!$C$11:$ND$11,MATCH(A29,'[1]01-数据'!$C$1:$ND$1))," ")</f>
        <v>13.67</v>
      </c>
      <c r="H29" s="11">
        <f>IF(A29&lt;&gt;"",INDEX('[1]01-数据'!$C$14:$ND$14,MATCH(A29,'[1]01-数据'!$C$1:$ND$1))," ")</f>
        <v>10.27</v>
      </c>
    </row>
    <row r="30" spans="1:8">
      <c r="A30" s="10">
        <v>45531</v>
      </c>
      <c r="B30" s="11">
        <f>IF(A30&lt;&gt;"",INDEX('[1]01-数据'!$C$2:$ND$2,MATCH(A30,'[1]01-数据'!$C$1:$ND$1))," ")</f>
        <v>298.92</v>
      </c>
      <c r="C30" s="11">
        <f>IF(A30&lt;&gt;"",INDEX('[1]01-数据'!$C$3:$ND$3,MATCH(A30,'[1]01-数据'!$C$1:$ND$1))," ")</f>
        <v>8280.54</v>
      </c>
      <c r="D30" s="12">
        <f>IF(A30&lt;&gt;"",INDEX('[1]01-数据'!$C$4:$ND$4,MATCH(A30,'[1]01-数据'!$C$1:$ND$1))," ")</f>
        <v>0.0781</v>
      </c>
      <c r="E30" s="11">
        <f>IF(A30&lt;&gt;"",INDEX('[1]01-数据'!$C$6:$ND$6,MATCH(A30,'[1]01-数据'!$C$1:$ND$1))," ")</f>
        <v>62567</v>
      </c>
      <c r="F30" s="15">
        <f>IF(A30&lt;&gt;"",INDEX('[1]01-数据'!$C$7:$ND$7,MATCH(A30,'[1]01-数据'!$C$1:$ND$1))," ")</f>
        <v>0.0769</v>
      </c>
      <c r="G30" s="11">
        <f>IF(A30&lt;&gt;"",INDEX('[1]01-数据'!$C$11:$ND$11,MATCH(A30,'[1]01-数据'!$C$1:$ND$1))," ")</f>
        <v>13.09</v>
      </c>
      <c r="H30" s="11">
        <f>IF(A30&lt;&gt;"",INDEX('[1]01-数据'!$C$14:$ND$14,MATCH(A30,'[1]01-数据'!$C$1:$ND$1))," ")</f>
        <v>10.34</v>
      </c>
    </row>
    <row r="31" spans="1:8">
      <c r="A31" s="10">
        <v>45532</v>
      </c>
      <c r="B31" s="11">
        <f>IF(A31&lt;&gt;"",INDEX('[1]01-数据'!$C$2:$ND$2,MATCH(A31,'[1]01-数据'!$C$1:$ND$1))," ")</f>
        <v>294.41</v>
      </c>
      <c r="C31" s="11">
        <f>IF(A31&lt;&gt;"",INDEX('[1]01-数据'!$C$3:$ND$3,MATCH(A31,'[1]01-数据'!$C$1:$ND$1))," ")</f>
        <v>8574.95</v>
      </c>
      <c r="D31" s="12">
        <f>IF(A31&lt;&gt;"",INDEX('[1]01-数据'!$C$4:$ND$4,MATCH(A31,'[1]01-数据'!$C$1:$ND$1))," ")</f>
        <v>0.0806</v>
      </c>
      <c r="E31" s="11">
        <f>IF(A31&lt;&gt;"",INDEX('[1]01-数据'!$C$6:$ND$6,MATCH(A31,'[1]01-数据'!$C$1:$ND$1))," ")</f>
        <v>62861.41</v>
      </c>
      <c r="F31" s="15">
        <f>IF(A31&lt;&gt;"",INDEX('[1]01-数据'!$C$7:$ND$7,MATCH(A31,'[1]01-数据'!$C$1:$ND$1))," ")</f>
        <v>0.0773</v>
      </c>
      <c r="G31" s="11">
        <f>IF(A31&lt;&gt;"",INDEX('[1]01-数据'!$C$11:$ND$11,MATCH(A31,'[1]01-数据'!$C$1:$ND$1))," ")</f>
        <v>12.91</v>
      </c>
      <c r="H31" s="11">
        <f>IF(A31&lt;&gt;"",INDEX('[1]01-数据'!$C$14:$ND$14,MATCH(A31,'[1]01-数据'!$C$1:$ND$1))," ")</f>
        <v>10.12</v>
      </c>
    </row>
    <row r="32" spans="1:8">
      <c r="A32" s="10">
        <v>45533</v>
      </c>
      <c r="B32" s="11">
        <f>IF(A32&lt;&gt;"",INDEX('[1]01-数据'!$C$2:$ND$2,MATCH(A32,'[1]01-数据'!$C$1:$ND$1))," ")</f>
        <v>295.81</v>
      </c>
      <c r="C32" s="11">
        <f>IF(A32&lt;&gt;"",INDEX('[1]01-数据'!$C$3:$ND$3,MATCH(A32,'[1]01-数据'!$C$1:$ND$1))," ")</f>
        <v>8870.76</v>
      </c>
      <c r="D32" s="12">
        <f>IF(A32&lt;&gt;"",INDEX('[1]01-数据'!$C$4:$ND$4,MATCH(A32,'[1]01-数据'!$C$1:$ND$1))," ")</f>
        <v>0.0838</v>
      </c>
      <c r="E32" s="11">
        <f>IF(A32&lt;&gt;"",INDEX('[1]01-数据'!$C$6:$ND$6,MATCH(A32,'[1]01-数据'!$C$1:$ND$1))," ")</f>
        <v>63157.22</v>
      </c>
      <c r="F32" s="15">
        <f>IF(A32&lt;&gt;"",INDEX('[1]01-数据'!$C$7:$ND$7,MATCH(A32,'[1]01-数据'!$C$1:$ND$1))," ")</f>
        <v>0.0777</v>
      </c>
      <c r="G32" s="11">
        <f>IF(A32&lt;&gt;"",INDEX('[1]01-数据'!$C$11:$ND$11,MATCH(A32,'[1]01-数据'!$C$1:$ND$1))," ")</f>
        <v>13.06</v>
      </c>
      <c r="H32" s="11">
        <f>IF(A32&lt;&gt;"",INDEX('[1]01-数据'!$C$14:$ND$14,MATCH(A32,'[1]01-数据'!$C$1:$ND$1))," ")</f>
        <v>10.08</v>
      </c>
    </row>
    <row r="33" spans="1:8">
      <c r="A33" s="10">
        <v>45534</v>
      </c>
      <c r="B33" s="11">
        <f>IF(A33&lt;&gt;"",INDEX('[1]01-数据'!$C$2:$ND$2,MATCH(A33,'[1]01-数据'!$C$1:$ND$1))," ")</f>
        <v>301.48</v>
      </c>
      <c r="C33" s="11">
        <f>IF(A33&lt;&gt;"",INDEX('[1]01-数据'!$C$3:$ND$3,MATCH(A33,'[1]01-数据'!$C$1:$ND$1))," ")</f>
        <v>9172.23</v>
      </c>
      <c r="D33" s="12">
        <f>IF(A33&lt;&gt;"",INDEX('[1]01-数据'!$C$4:$ND$4,MATCH(A33,'[1]01-数据'!$C$1:$ND$1))," ")</f>
        <v>0.0877</v>
      </c>
      <c r="E33" s="11">
        <f>IF(A33&lt;&gt;"",INDEX('[1]01-数据'!$C$6:$ND$6,MATCH(A33,'[1]01-数据'!$C$1:$ND$1))," ")</f>
        <v>63458.7</v>
      </c>
      <c r="F33" s="15">
        <f>IF(A33&lt;&gt;"",INDEX('[1]01-数据'!$C$7:$ND$7,MATCH(A33,'[1]01-数据'!$C$1:$ND$1))," ")</f>
        <v>0.0783</v>
      </c>
      <c r="G33" s="11">
        <f>IF(A33&lt;&gt;"",INDEX('[1]01-数据'!$C$11:$ND$11,MATCH(A33,'[1]01-数据'!$C$1:$ND$1))," ")</f>
        <v>13.39</v>
      </c>
      <c r="H33" s="11">
        <f>IF(A33&lt;&gt;"",INDEX('[1]01-数据'!$C$14:$ND$14,MATCH(A33,'[1]01-数据'!$C$1:$ND$1))," ")</f>
        <v>10.04</v>
      </c>
    </row>
    <row r="34" spans="1:8">
      <c r="A34" s="7">
        <v>45535</v>
      </c>
      <c r="B34" s="8">
        <f>IF(A34&lt;&gt;"",INDEX('[1]01-数据'!$C$2:$ND$2,MATCH(A34,'[1]01-数据'!$C$1:$ND$1))," ")</f>
        <v>301.12</v>
      </c>
      <c r="C34" s="8">
        <f>IF(A34&lt;&gt;"",INDEX('[1]01-数据'!$C$3:$ND$3,MATCH(A34,'[1]01-数据'!$C$1:$ND$1))," ")</f>
        <v>9473.35</v>
      </c>
      <c r="D34" s="9">
        <f>IF(A34&lt;&gt;"",INDEX('[1]01-数据'!$C$4:$ND$4,MATCH(A34,'[1]01-数据'!$C$1:$ND$1))," ")</f>
        <v>0.0911</v>
      </c>
      <c r="E34" s="8">
        <f>IF(A34&lt;&gt;"",INDEX('[1]01-数据'!$C$6:$ND$6,MATCH(A34,'[1]01-数据'!$C$1:$ND$1))," ")</f>
        <v>63759.81</v>
      </c>
      <c r="F34" s="14">
        <f>IF(A34&lt;&gt;"",INDEX('[1]01-数据'!$C$7:$ND$7,MATCH(A34,'[1]01-数据'!$C$1:$ND$1))," ")</f>
        <v>0.0789</v>
      </c>
      <c r="G34" s="8">
        <f>IF(A34&lt;&gt;"",INDEX('[1]01-数据'!$C$11:$ND$11,MATCH(A34,'[1]01-数据'!$C$1:$ND$1))," ")</f>
        <v>13.3</v>
      </c>
      <c r="H34" s="8">
        <f>IF(A34&lt;&gt;"",INDEX('[1]01-数据'!$C$14:$ND$14,MATCH(A34,'[1]01-数据'!$C$1:$ND$1))," ")</f>
        <v>10.26</v>
      </c>
    </row>
    <row r="35" spans="1:8">
      <c r="A35" s="13" t="s">
        <v>11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conditionalFormatting sqref="C4:C34">
    <cfRule type="top10" dxfId="0" priority="2" rank="1"/>
  </conditionalFormatting>
  <conditionalFormatting sqref="E4:E34">
    <cfRule type="top10" dxfId="0" priority="1" rank="1"/>
  </conditionalFormatting>
  <pageMargins left="0.75" right="0.75" top="1" bottom="1" header="0.511805555555556" footer="0.511805555555556"/>
  <pageSetup paperSize="9" scale="9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6"/>
  <sheetViews>
    <sheetView zoomScale="145" zoomScaleNormal="145" workbookViewId="0">
      <pane xSplit="1" ySplit="3" topLeftCell="B4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4.25"/>
  <cols>
    <col min="1" max="1" width="10.37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22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pans="1:8">
      <c r="A4" s="7">
        <v>45536</v>
      </c>
      <c r="B4" s="8">
        <f>IF(A4&lt;&gt;"",INDEX('[1]01-数据'!$C$2:$ND$2,MATCH(A4,'[1]01-数据'!$C$1:$ND$1))," ")</f>
        <v>297.32</v>
      </c>
      <c r="C4" s="8">
        <f>IF(A4&lt;&gt;"",INDEX('[1]01-数据'!$C$3:$ND$3,MATCH(A4,'[1]01-数据'!$C$1:$ND$1))," ")</f>
        <v>297.32</v>
      </c>
      <c r="D4" s="9">
        <f>IF(A4&lt;&gt;"",INDEX('[1]01-数据'!$C$4:$ND$4,MATCH(A4,'[1]01-数据'!$C$1:$ND$1))," ")</f>
        <v>0.1996</v>
      </c>
      <c r="E4" s="8">
        <f>IF(A4&lt;&gt;"",INDEX('[1]01-数据'!$C$6:$ND$6,MATCH(A4,'[1]01-数据'!$C$1:$ND$1))," ")</f>
        <v>64057.13</v>
      </c>
      <c r="F4" s="14">
        <f>IF(A4&lt;&gt;"",INDEX('[1]01-数据'!$C$7:$ND$7,MATCH(A4,'[1]01-数据'!$C$1:$ND$1))," ")</f>
        <v>0.0794</v>
      </c>
      <c r="G4" s="8">
        <f>IF(A4&lt;&gt;"",INDEX('[1]01-数据'!$C$11:$ND$11,MATCH(A4,'[1]01-数据'!$C$1:$ND$1))," ")</f>
        <v>13.14</v>
      </c>
      <c r="H4" s="8">
        <f>IF(A4&lt;&gt;"",INDEX('[1]01-数据'!$C$14:$ND$14,MATCH(A4,'[1]01-数据'!$C$1:$ND$1))," ")</f>
        <v>10.11</v>
      </c>
    </row>
    <row r="5" spans="1:8">
      <c r="A5" s="10">
        <v>45537</v>
      </c>
      <c r="B5" s="11">
        <f>IF(A5&lt;&gt;"",INDEX('[1]01-数据'!$C$2:$ND$2,MATCH(A5,'[1]01-数据'!$C$1:$ND$1))," ")</f>
        <v>300.91</v>
      </c>
      <c r="C5" s="11">
        <f>IF(A5&lt;&gt;"",INDEX('[1]01-数据'!$C$3:$ND$3,MATCH(A5,'[1]01-数据'!$C$1:$ND$1))," ")</f>
        <v>598.23</v>
      </c>
      <c r="D5" s="12">
        <f>IF(A5&lt;&gt;"",INDEX('[1]01-数据'!$C$4:$ND$4,MATCH(A5,'[1]01-数据'!$C$1:$ND$1))," ")</f>
        <v>0.2118</v>
      </c>
      <c r="E5" s="11">
        <f>IF(A5&lt;&gt;"",INDEX('[1]01-数据'!$C$6:$ND$6,MATCH(A5,'[1]01-数据'!$C$1:$ND$1))," ")</f>
        <v>64358.05</v>
      </c>
      <c r="F5" s="15">
        <f>IF(A5&lt;&gt;"",INDEX('[1]01-数据'!$C$7:$ND$7,MATCH(A5,'[1]01-数据'!$C$1:$ND$1))," ")</f>
        <v>0.08</v>
      </c>
      <c r="G5" s="11">
        <f>IF(A5&lt;&gt;"",INDEX('[1]01-数据'!$C$11:$ND$11,MATCH(A5,'[1]01-数据'!$C$1:$ND$1))," ")</f>
        <v>13.39</v>
      </c>
      <c r="H5" s="11">
        <f>IF(A5&lt;&gt;"",INDEX('[1]01-数据'!$C$14:$ND$14,MATCH(A5,'[1]01-数据'!$C$1:$ND$1))," ")</f>
        <v>10.19</v>
      </c>
    </row>
    <row r="6" spans="1:8">
      <c r="A6" s="10">
        <v>45538</v>
      </c>
      <c r="B6" s="11">
        <f>IF(A6&lt;&gt;"",INDEX('[1]01-数据'!$C$2:$ND$2,MATCH(A6,'[1]01-数据'!$C$1:$ND$1))," ")</f>
        <v>296.33</v>
      </c>
      <c r="C6" s="11">
        <f>IF(A6&lt;&gt;"",INDEX('[1]01-数据'!$C$3:$ND$3,MATCH(A6,'[1]01-数据'!$C$1:$ND$1))," ")</f>
        <v>894.56</v>
      </c>
      <c r="D6" s="12">
        <f>IF(A6&lt;&gt;"",INDEX('[1]01-数据'!$C$4:$ND$4,MATCH(A6,'[1]01-数据'!$C$1:$ND$1))," ")</f>
        <v>0.2078</v>
      </c>
      <c r="E6" s="11">
        <f>IF(A6&lt;&gt;"",INDEX('[1]01-数据'!$C$6:$ND$6,MATCH(A6,'[1]01-数据'!$C$1:$ND$1))," ")</f>
        <v>64654.38</v>
      </c>
      <c r="F6" s="15">
        <f>IF(A6&lt;&gt;"",INDEX('[1]01-数据'!$C$7:$ND$7,MATCH(A6,'[1]01-数据'!$C$1:$ND$1))," ")</f>
        <v>0.0805</v>
      </c>
      <c r="G6" s="11">
        <f>IF(A6&lt;&gt;"",INDEX('[1]01-数据'!$C$11:$ND$11,MATCH(A6,'[1]01-数据'!$C$1:$ND$1))," ")</f>
        <v>12.93</v>
      </c>
      <c r="H6" s="11">
        <f>IF(A6&lt;&gt;"",INDEX('[1]01-数据'!$C$14:$ND$14,MATCH(A6,'[1]01-数据'!$C$1:$ND$1))," ")</f>
        <v>10.1</v>
      </c>
    </row>
    <row r="7" spans="1:8">
      <c r="A7" s="10">
        <v>45539</v>
      </c>
      <c r="B7" s="11">
        <f>IF(A7&lt;&gt;"",INDEX('[1]01-数据'!$C$2:$ND$2,MATCH(A7,'[1]01-数据'!$C$1:$ND$1))," ")</f>
        <v>301.46</v>
      </c>
      <c r="C7" s="11">
        <f>IF(A7&lt;&gt;"",INDEX('[1]01-数据'!$C$3:$ND$3,MATCH(A7,'[1]01-数据'!$C$1:$ND$1))," ")</f>
        <v>1196.03</v>
      </c>
      <c r="D7" s="12">
        <f>IF(A7&lt;&gt;"",INDEX('[1]01-数据'!$C$4:$ND$4,MATCH(A7,'[1]01-数据'!$C$1:$ND$1))," ")</f>
        <v>0.1927</v>
      </c>
      <c r="E7" s="11">
        <f>IF(A7&lt;&gt;"",INDEX('[1]01-数据'!$C$6:$ND$6,MATCH(A7,'[1]01-数据'!$C$1:$ND$1))," ")</f>
        <v>64955.84</v>
      </c>
      <c r="F7" s="15">
        <f>IF(A7&lt;&gt;"",INDEX('[1]01-数据'!$C$7:$ND$7,MATCH(A7,'[1]01-数据'!$C$1:$ND$1))," ")</f>
        <v>0.0808</v>
      </c>
      <c r="G7" s="11">
        <f>IF(A7&lt;&gt;"",INDEX('[1]01-数据'!$C$11:$ND$11,MATCH(A7,'[1]01-数据'!$C$1:$ND$1))," ")</f>
        <v>13.28</v>
      </c>
      <c r="H7" s="11">
        <f>IF(A7&lt;&gt;"",INDEX('[1]01-数据'!$C$14:$ND$14,MATCH(A7,'[1]01-数据'!$C$1:$ND$1))," ")</f>
        <v>10.11</v>
      </c>
    </row>
    <row r="8" spans="1:8">
      <c r="A8" s="10">
        <v>45540</v>
      </c>
      <c r="B8" s="11">
        <f>IF(A8&lt;&gt;"",INDEX('[1]01-数据'!$C$2:$ND$2,MATCH(A8,'[1]01-数据'!$C$1:$ND$1))," ")</f>
        <v>301.63</v>
      </c>
      <c r="C8" s="11">
        <f>IF(A8&lt;&gt;"",INDEX('[1]01-数据'!$C$3:$ND$3,MATCH(A8,'[1]01-数据'!$C$1:$ND$1))," ")</f>
        <v>1497.65</v>
      </c>
      <c r="D8" s="12">
        <f>IF(A8&lt;&gt;"",INDEX('[1]01-数据'!$C$4:$ND$4,MATCH(A8,'[1]01-数据'!$C$1:$ND$1))," ")</f>
        <v>0.1798</v>
      </c>
      <c r="E8" s="11">
        <f>IF(A8&lt;&gt;"",INDEX('[1]01-数据'!$C$6:$ND$6,MATCH(A8,'[1]01-数据'!$C$1:$ND$1))," ")</f>
        <v>65257.47</v>
      </c>
      <c r="F8" s="15">
        <f>IF(A8&lt;&gt;"",INDEX('[1]01-数据'!$C$7:$ND$7,MATCH(A8,'[1]01-数据'!$C$1:$ND$1))," ")</f>
        <v>0.081</v>
      </c>
      <c r="G8" s="11">
        <f>IF(A8&lt;&gt;"",INDEX('[1]01-数据'!$C$11:$ND$11,MATCH(A8,'[1]01-数据'!$C$1:$ND$1))," ")</f>
        <v>13.25</v>
      </c>
      <c r="H8" s="11">
        <f>IF(A8&lt;&gt;"",INDEX('[1]01-数据'!$C$14:$ND$14,MATCH(A8,'[1]01-数据'!$C$1:$ND$1))," ")</f>
        <v>10.32</v>
      </c>
    </row>
    <row r="9" spans="1:8">
      <c r="A9" s="10">
        <v>45541</v>
      </c>
      <c r="B9" s="11">
        <f>IF(A9&lt;&gt;"",INDEX('[1]01-数据'!$C$2:$ND$2,MATCH(A9,'[1]01-数据'!$C$1:$ND$1))," ")</f>
        <v>292.65</v>
      </c>
      <c r="C9" s="11">
        <f>IF(A9&lt;&gt;"",INDEX('[1]01-数据'!$C$3:$ND$3,MATCH(A9,'[1]01-数据'!$C$1:$ND$1))," ")</f>
        <v>1790.3</v>
      </c>
      <c r="D9" s="12">
        <f>IF(A9&lt;&gt;"",INDEX('[1]01-数据'!$C$4:$ND$4,MATCH(A9,'[1]01-数据'!$C$1:$ND$1))," ")</f>
        <v>0.1634</v>
      </c>
      <c r="E9" s="11">
        <f>IF(A9&lt;&gt;"",INDEX('[1]01-数据'!$C$6:$ND$6,MATCH(A9,'[1]01-数据'!$C$1:$ND$1))," ")</f>
        <v>65550.12</v>
      </c>
      <c r="F9" s="15">
        <f>IF(A9&lt;&gt;"",INDEX('[1]01-数据'!$C$7:$ND$7,MATCH(A9,'[1]01-数据'!$C$1:$ND$1))," ")</f>
        <v>0.081</v>
      </c>
      <c r="G9" s="11">
        <f>IF(A9&lt;&gt;"",INDEX('[1]01-数据'!$C$11:$ND$11,MATCH(A9,'[1]01-数据'!$C$1:$ND$1))," ")</f>
        <v>12.91</v>
      </c>
      <c r="H9" s="11">
        <f>IF(A9&lt;&gt;"",INDEX('[1]01-数据'!$C$14:$ND$14,MATCH(A9,'[1]01-数据'!$C$1:$ND$1))," ")</f>
        <v>10.15</v>
      </c>
    </row>
    <row r="10" spans="1:8">
      <c r="A10" s="7">
        <v>45542</v>
      </c>
      <c r="B10" s="8">
        <f>IF(A10&lt;&gt;"",INDEX('[1]01-数据'!$C$2:$ND$2,MATCH(A10,'[1]01-数据'!$C$1:$ND$1))," ")</f>
        <v>286.78</v>
      </c>
      <c r="C10" s="8">
        <f>IF(A10&lt;&gt;"",INDEX('[1]01-数据'!$C$3:$ND$3,MATCH(A10,'[1]01-数据'!$C$1:$ND$1))," ")</f>
        <v>2077.09</v>
      </c>
      <c r="D10" s="9">
        <f>IF(A10&lt;&gt;"",INDEX('[1]01-数据'!$C$4:$ND$4,MATCH(A10,'[1]01-数据'!$C$1:$ND$1))," ")</f>
        <v>0.1485</v>
      </c>
      <c r="E10" s="8">
        <f>IF(A10&lt;&gt;"",INDEX('[1]01-数据'!$C$6:$ND$6,MATCH(A10,'[1]01-数据'!$C$1:$ND$1))," ")</f>
        <v>65836.91</v>
      </c>
      <c r="F10" s="14">
        <f>IF(A10&lt;&gt;"",INDEX('[1]01-数据'!$C$7:$ND$7,MATCH(A10,'[1]01-数据'!$C$1:$ND$1))," ")</f>
        <v>0.0809</v>
      </c>
      <c r="G10" s="8">
        <f>IF(A10&lt;&gt;"",INDEX('[1]01-数据'!$C$11:$ND$11,MATCH(A10,'[1]01-数据'!$C$1:$ND$1))," ")</f>
        <v>12.62</v>
      </c>
      <c r="H10" s="8">
        <f>IF(A10&lt;&gt;"",INDEX('[1]01-数据'!$C$14:$ND$14,MATCH(A10,'[1]01-数据'!$C$1:$ND$1))," ")</f>
        <v>9.87</v>
      </c>
    </row>
    <row r="11" spans="1:8">
      <c r="A11" s="7">
        <v>45543</v>
      </c>
      <c r="B11" s="8">
        <f>IF(A11&lt;&gt;"",INDEX('[1]01-数据'!$C$2:$ND$2,MATCH(A11,'[1]01-数据'!$C$1:$ND$1))," ")</f>
        <v>284.1</v>
      </c>
      <c r="C11" s="8">
        <f>IF(A11&lt;&gt;"",INDEX('[1]01-数据'!$C$3:$ND$3,MATCH(A11,'[1]01-数据'!$C$1:$ND$1))," ")</f>
        <v>2361.19</v>
      </c>
      <c r="D11" s="9">
        <f>IF(A11&lt;&gt;"",INDEX('[1]01-数据'!$C$4:$ND$4,MATCH(A11,'[1]01-数据'!$C$1:$ND$1))," ")</f>
        <v>0.1366</v>
      </c>
      <c r="E11" s="8">
        <f>IF(A11&lt;&gt;"",INDEX('[1]01-数据'!$C$6:$ND$6,MATCH(A11,'[1]01-数据'!$C$1:$ND$1))," ")</f>
        <v>66121</v>
      </c>
      <c r="F11" s="14">
        <f>IF(A11&lt;&gt;"",INDEX('[1]01-数据'!$C$7:$ND$7,MATCH(A11,'[1]01-数据'!$C$1:$ND$1))," ")</f>
        <v>0.0808</v>
      </c>
      <c r="G11" s="8">
        <f>IF(A11&lt;&gt;"",INDEX('[1]01-数据'!$C$11:$ND$11,MATCH(A11,'[1]01-数据'!$C$1:$ND$1))," ")</f>
        <v>12.41</v>
      </c>
      <c r="H11" s="8">
        <f>IF(A11&lt;&gt;"",INDEX('[1]01-数据'!$C$14:$ND$14,MATCH(A11,'[1]01-数据'!$C$1:$ND$1))," ")</f>
        <v>9.83</v>
      </c>
    </row>
    <row r="12" spans="1:8">
      <c r="A12" s="10">
        <v>45544</v>
      </c>
      <c r="B12" s="11">
        <f>IF(A12&lt;&gt;"",INDEX('[1]01-数据'!$C$2:$ND$2,MATCH(A12,'[1]01-数据'!$C$1:$ND$1))," ")</f>
        <v>296.39</v>
      </c>
      <c r="C12" s="11">
        <f>IF(A12&lt;&gt;"",INDEX('[1]01-数据'!$C$3:$ND$3,MATCH(A12,'[1]01-数据'!$C$1:$ND$1))," ")</f>
        <v>2657.58</v>
      </c>
      <c r="D12" s="12">
        <f>IF(A12&lt;&gt;"",INDEX('[1]01-数据'!$C$4:$ND$4,MATCH(A12,'[1]01-数据'!$C$1:$ND$1))," ")</f>
        <v>0.1351</v>
      </c>
      <c r="E12" s="11">
        <f>IF(A12&lt;&gt;"",INDEX('[1]01-数据'!$C$6:$ND$6,MATCH(A12,'[1]01-数据'!$C$1:$ND$1))," ")</f>
        <v>66417.39</v>
      </c>
      <c r="F12" s="15">
        <f>IF(A12&lt;&gt;"",INDEX('[1]01-数据'!$C$7:$ND$7,MATCH(A12,'[1]01-数据'!$C$1:$ND$1))," ")</f>
        <v>0.081</v>
      </c>
      <c r="G12" s="11">
        <f>IF(A12&lt;&gt;"",INDEX('[1]01-数据'!$C$11:$ND$11,MATCH(A12,'[1]01-数据'!$C$1:$ND$1))," ")</f>
        <v>13.22</v>
      </c>
      <c r="H12" s="11">
        <f>IF(A12&lt;&gt;"",INDEX('[1]01-数据'!$C$14:$ND$14,MATCH(A12,'[1]01-数据'!$C$1:$ND$1))," ")</f>
        <v>9.8</v>
      </c>
    </row>
    <row r="13" spans="1:11">
      <c r="A13" s="10">
        <v>45545</v>
      </c>
      <c r="B13" s="11">
        <f>IF(A13&lt;&gt;"",INDEX('[1]01-数据'!$C$2:$ND$2,MATCH(A13,'[1]01-数据'!$C$1:$ND$1))," ")</f>
        <v>292</v>
      </c>
      <c r="C13" s="11">
        <f>IF(A13&lt;&gt;"",INDEX('[1]01-数据'!$C$3:$ND$3,MATCH(A13,'[1]01-数据'!$C$1:$ND$1))," ")</f>
        <v>2949.58</v>
      </c>
      <c r="D13" s="12">
        <f>IF(A13&lt;&gt;"",INDEX('[1]01-数据'!$C$4:$ND$4,MATCH(A13,'[1]01-数据'!$C$1:$ND$1))," ")</f>
        <v>0.1356</v>
      </c>
      <c r="E13" s="11">
        <f>IF(A13&lt;&gt;"",INDEX('[1]01-数据'!$C$6:$ND$6,MATCH(A13,'[1]01-数据'!$C$1:$ND$1))," ")</f>
        <v>66709.39</v>
      </c>
      <c r="F13" s="15">
        <f>IF(A13&lt;&gt;"",INDEX('[1]01-数据'!$C$7:$ND$7,MATCH(A13,'[1]01-数据'!$C$1:$ND$1))," ")</f>
        <v>0.0813</v>
      </c>
      <c r="G13" s="11">
        <f>IF(A13&lt;&gt;"",INDEX('[1]01-数据'!$C$11:$ND$11,MATCH(A13,'[1]01-数据'!$C$1:$ND$1))," ")</f>
        <v>12.93</v>
      </c>
      <c r="H13" s="11">
        <f>IF(A13&lt;&gt;"",INDEX('[1]01-数据'!$C$14:$ND$14,MATCH(A13,'[1]01-数据'!$C$1:$ND$1))," ")</f>
        <v>10.04</v>
      </c>
      <c r="K13" s="17"/>
    </row>
    <row r="14" spans="1:11">
      <c r="A14" s="10">
        <v>45546</v>
      </c>
      <c r="B14" s="11">
        <f>IF(A14&lt;&gt;"",INDEX('[1]01-数据'!$C$2:$ND$2,MATCH(A14,'[1]01-数据'!$C$1:$ND$1))," ")</f>
        <v>285.26</v>
      </c>
      <c r="C14" s="11">
        <f>IF(A14&lt;&gt;"",INDEX('[1]01-数据'!$C$3:$ND$3,MATCH(A14,'[1]01-数据'!$C$1:$ND$1))," ")</f>
        <v>3234.84</v>
      </c>
      <c r="D14" s="12">
        <f>IF(A14&lt;&gt;"",INDEX('[1]01-数据'!$C$4:$ND$4,MATCH(A14,'[1]01-数据'!$C$1:$ND$1))," ")</f>
        <v>0.1313</v>
      </c>
      <c r="E14" s="11">
        <f>IF(A14&lt;&gt;"",INDEX('[1]01-数据'!$C$6:$ND$6,MATCH(A14,'[1]01-数据'!$C$1:$ND$1))," ")</f>
        <v>66994.65</v>
      </c>
      <c r="F14" s="15">
        <f>IF(A14&lt;&gt;"",INDEX('[1]01-数据'!$C$7:$ND$7,MATCH(A14,'[1]01-数据'!$C$1:$ND$1))," ")</f>
        <v>0.0813</v>
      </c>
      <c r="G14" s="11">
        <f>IF(A14&lt;&gt;"",INDEX('[1]01-数据'!$C$11:$ND$11,MATCH(A14,'[1]01-数据'!$C$1:$ND$1))," ")</f>
        <v>12.52</v>
      </c>
      <c r="H14" s="11">
        <f>IF(A14&lt;&gt;"",INDEX('[1]01-数据'!$C$14:$ND$14,MATCH(A14,'[1]01-数据'!$C$1:$ND$1))," ")</f>
        <v>9.84</v>
      </c>
      <c r="K14" s="17"/>
    </row>
    <row r="15" spans="1:11">
      <c r="A15" s="10">
        <v>45547</v>
      </c>
      <c r="B15" s="11">
        <f>IF(A15&lt;&gt;"",INDEX('[1]01-数据'!$C$2:$ND$2,MATCH(A15,'[1]01-数据'!$C$1:$ND$1))," ")</f>
        <v>284.4</v>
      </c>
      <c r="C15" s="11">
        <f>IF(A15&lt;&gt;"",INDEX('[1]01-数据'!$C$3:$ND$3,MATCH(A15,'[1]01-数据'!$C$1:$ND$1))," ")</f>
        <v>3519.23</v>
      </c>
      <c r="D15" s="12">
        <f>IF(A15&lt;&gt;"",INDEX('[1]01-数据'!$C$4:$ND$4,MATCH(A15,'[1]01-数据'!$C$1:$ND$1))," ")</f>
        <v>0.1293</v>
      </c>
      <c r="E15" s="11">
        <f>IF(A15&lt;&gt;"",INDEX('[1]01-数据'!$C$6:$ND$6,MATCH(A15,'[1]01-数据'!$C$1:$ND$1))," ")</f>
        <v>67279.06</v>
      </c>
      <c r="F15" s="15">
        <f>IF(A15&lt;&gt;"",INDEX('[1]01-数据'!$C$7:$ND$7,MATCH(A15,'[1]01-数据'!$C$1:$ND$1))," ")</f>
        <v>0.0814</v>
      </c>
      <c r="G15" s="11">
        <f>IF(A15&lt;&gt;"",INDEX('[1]01-数据'!$C$11:$ND$11,MATCH(A15,'[1]01-数据'!$C$1:$ND$1))," ")</f>
        <v>12.47</v>
      </c>
      <c r="H15" s="11">
        <f>IF(A15&lt;&gt;"",INDEX('[1]01-数据'!$C$14:$ND$14,MATCH(A15,'[1]01-数据'!$C$1:$ND$1))," ")</f>
        <v>9.71</v>
      </c>
      <c r="K15" s="17"/>
    </row>
    <row r="16" spans="1:8">
      <c r="A16" s="10">
        <v>45548</v>
      </c>
      <c r="B16" s="11">
        <f>IF(A16&lt;&gt;"",INDEX('[1]01-数据'!$C$2:$ND$2,MATCH(A16,'[1]01-数据'!$C$1:$ND$1))," ")</f>
        <v>286.55</v>
      </c>
      <c r="C16" s="11">
        <f>IF(A16&lt;&gt;"",INDEX('[1]01-数据'!$C$3:$ND$3,MATCH(A16,'[1]01-数据'!$C$1:$ND$1))," ")</f>
        <v>3805.78</v>
      </c>
      <c r="D16" s="12">
        <f>IF(A16&lt;&gt;"",INDEX('[1]01-数据'!$C$4:$ND$4,MATCH(A16,'[1]01-数据'!$C$1:$ND$1))," ")</f>
        <v>0.1297</v>
      </c>
      <c r="E16" s="11">
        <f>IF(A16&lt;&gt;"",INDEX('[1]01-数据'!$C$6:$ND$6,MATCH(A16,'[1]01-数据'!$C$1:$ND$1))," ")</f>
        <v>67565.6</v>
      </c>
      <c r="F16" s="15">
        <f>IF(A16&lt;&gt;"",INDEX('[1]01-数据'!$C$7:$ND$7,MATCH(A16,'[1]01-数据'!$C$1:$ND$1))," ")</f>
        <v>0.0816</v>
      </c>
      <c r="G16" s="11">
        <f>IF(A16&lt;&gt;"",INDEX('[1]01-数据'!$C$11:$ND$11,MATCH(A16,'[1]01-数据'!$C$1:$ND$1))," ")</f>
        <v>12.54</v>
      </c>
      <c r="H16" s="11">
        <f>IF(A16&lt;&gt;"",INDEX('[1]01-数据'!$C$14:$ND$14,MATCH(A16,'[1]01-数据'!$C$1:$ND$1))," ")</f>
        <v>9.73</v>
      </c>
    </row>
    <row r="17" spans="1:8">
      <c r="A17" s="7">
        <v>45549</v>
      </c>
      <c r="B17" s="8">
        <f>IF(A17&lt;&gt;"",INDEX('[1]01-数据'!$C$2:$ND$2,MATCH(A17,'[1]01-数据'!$C$1:$ND$1))," ")</f>
        <v>282.8</v>
      </c>
      <c r="C17" s="8">
        <f>IF(A17&lt;&gt;"",INDEX('[1]01-数据'!$C$3:$ND$3,MATCH(A17,'[1]01-数据'!$C$1:$ND$1))," ")</f>
        <v>4088.58</v>
      </c>
      <c r="D17" s="9">
        <f>IF(A17&lt;&gt;"",INDEX('[1]01-数据'!$C$4:$ND$4,MATCH(A17,'[1]01-数据'!$C$1:$ND$1))," ")</f>
        <v>0.1294</v>
      </c>
      <c r="E17" s="8">
        <f>IF(A17&lt;&gt;"",INDEX('[1]01-数据'!$C$6:$ND$6,MATCH(A17,'[1]01-数据'!$C$1:$ND$1))," ")</f>
        <v>67848.4</v>
      </c>
      <c r="F17" s="14">
        <f>IF(A17&lt;&gt;"",INDEX('[1]01-数据'!$C$7:$ND$7,MATCH(A17,'[1]01-数据'!$C$1:$ND$1))," ")</f>
        <v>0.0818</v>
      </c>
      <c r="G17" s="8">
        <f>IF(A17&lt;&gt;"",INDEX('[1]01-数据'!$C$11:$ND$11,MATCH(A17,'[1]01-数据'!$C$1:$ND$1))," ")</f>
        <v>12.46</v>
      </c>
      <c r="H17" s="8">
        <f>IF(A17&lt;&gt;"",INDEX('[1]01-数据'!$C$14:$ND$14,MATCH(A17,'[1]01-数据'!$C$1:$ND$1))," ")</f>
        <v>9.8</v>
      </c>
    </row>
    <row r="18" spans="1:8">
      <c r="A18" s="7">
        <v>45550</v>
      </c>
      <c r="B18" s="8">
        <f>IF(A18&lt;&gt;"",INDEX('[1]01-数据'!$C$2:$ND$2,MATCH(A18,'[1]01-数据'!$C$1:$ND$1))," ")</f>
        <v>270.38</v>
      </c>
      <c r="C18" s="8">
        <f>IF(A18&lt;&gt;"",INDEX('[1]01-数据'!$C$3:$ND$3,MATCH(A18,'[1]01-数据'!$C$1:$ND$1))," ")</f>
        <v>4358.96</v>
      </c>
      <c r="D18" s="9">
        <f>IF(A18&lt;&gt;"",INDEX('[1]01-数据'!$C$4:$ND$4,MATCH(A18,'[1]01-数据'!$C$1:$ND$1))," ")</f>
        <v>0.1257</v>
      </c>
      <c r="E18" s="8">
        <f>IF(A18&lt;&gt;"",INDEX('[1]01-数据'!$C$6:$ND$6,MATCH(A18,'[1]01-数据'!$C$1:$ND$1))," ")</f>
        <v>68118.77</v>
      </c>
      <c r="F18" s="14">
        <f>IF(A18&lt;&gt;"",INDEX('[1]01-数据'!$C$7:$ND$7,MATCH(A18,'[1]01-数据'!$C$1:$ND$1))," ")</f>
        <v>0.0817</v>
      </c>
      <c r="G18" s="8">
        <f>IF(A18&lt;&gt;"",INDEX('[1]01-数据'!$C$11:$ND$11,MATCH(A18,'[1]01-数据'!$C$1:$ND$1))," ")</f>
        <v>11.68</v>
      </c>
      <c r="H18" s="8">
        <f>IF(A18&lt;&gt;"",INDEX('[1]01-数据'!$C$14:$ND$14,MATCH(A18,'[1]01-数据'!$C$1:$ND$1))," ")</f>
        <v>9.59</v>
      </c>
    </row>
    <row r="19" spans="1:8">
      <c r="A19" s="10">
        <v>45551</v>
      </c>
      <c r="B19" s="11">
        <f>IF(A19&lt;&gt;"",INDEX('[1]01-数据'!$C$2:$ND$2,MATCH(A19,'[1]01-数据'!$C$1:$ND$1))," ")</f>
        <v>257.3</v>
      </c>
      <c r="C19" s="11">
        <f>IF(A19&lt;&gt;"",INDEX('[1]01-数据'!$C$3:$ND$3,MATCH(A19,'[1]01-数据'!$C$1:$ND$1))," ")</f>
        <v>4616.26</v>
      </c>
      <c r="D19" s="12">
        <f>IF(A19&lt;&gt;"",INDEX('[1]01-数据'!$C$4:$ND$4,MATCH(A19,'[1]01-数据'!$C$1:$ND$1))," ")</f>
        <v>0.1196</v>
      </c>
      <c r="E19" s="11">
        <f>IF(A19&lt;&gt;"",INDEX('[1]01-数据'!$C$6:$ND$6,MATCH(A19,'[1]01-数据'!$C$1:$ND$1))," ")</f>
        <v>68376.07</v>
      </c>
      <c r="F19" s="15">
        <f>IF(A19&lt;&gt;"",INDEX('[1]01-数据'!$C$7:$ND$7,MATCH(A19,'[1]01-数据'!$C$1:$ND$1))," ")</f>
        <v>0.0815</v>
      </c>
      <c r="G19" s="11">
        <f>IF(A19&lt;&gt;"",INDEX('[1]01-数据'!$C$11:$ND$11,MATCH(A19,'[1]01-数据'!$C$1:$ND$1))," ")</f>
        <v>11.03</v>
      </c>
      <c r="H19" s="11">
        <f>IF(A19&lt;&gt;"",INDEX('[1]01-数据'!$C$14:$ND$14,MATCH(A19,'[1]01-数据'!$C$1:$ND$1))," ")</f>
        <v>9.22</v>
      </c>
    </row>
    <row r="20" spans="1:8">
      <c r="A20" s="10">
        <v>45552</v>
      </c>
      <c r="B20" s="11">
        <f>IF(A20&lt;&gt;"",INDEX('[1]01-数据'!$C$2:$ND$2,MATCH(A20,'[1]01-数据'!$C$1:$ND$1))," ")</f>
        <v>245.69</v>
      </c>
      <c r="C20" s="11">
        <f>IF(A20&lt;&gt;"",INDEX('[1]01-数据'!$C$3:$ND$3,MATCH(A20,'[1]01-数据'!$C$1:$ND$1))," ")</f>
        <v>4861.95</v>
      </c>
      <c r="D20" s="12">
        <f>IF(A20&lt;&gt;"",INDEX('[1]01-数据'!$C$4:$ND$4,MATCH(A20,'[1]01-数据'!$C$1:$ND$1))," ")</f>
        <v>0.1117</v>
      </c>
      <c r="E20" s="11">
        <f>IF(A20&lt;&gt;"",INDEX('[1]01-数据'!$C$6:$ND$6,MATCH(A20,'[1]01-数据'!$C$1:$ND$1))," ")</f>
        <v>68621.76</v>
      </c>
      <c r="F20" s="15">
        <f>IF(A20&lt;&gt;"",INDEX('[1]01-数据'!$C$7:$ND$7,MATCH(A20,'[1]01-数据'!$C$1:$ND$1))," ")</f>
        <v>0.0811</v>
      </c>
      <c r="G20" s="11">
        <f>IF(A20&lt;&gt;"",INDEX('[1]01-数据'!$C$11:$ND$11,MATCH(A20,'[1]01-数据'!$C$1:$ND$1))," ")</f>
        <v>10.62</v>
      </c>
      <c r="H20" s="11">
        <f>IF(A20&lt;&gt;"",INDEX('[1]01-数据'!$C$14:$ND$14,MATCH(A20,'[1]01-数据'!$C$1:$ND$1))," ")</f>
        <v>8.75</v>
      </c>
    </row>
    <row r="21" spans="1:8">
      <c r="A21" s="10">
        <v>45553</v>
      </c>
      <c r="B21" s="11">
        <f>IF(A21&lt;&gt;"",INDEX('[1]01-数据'!$C$2:$ND$2,MATCH(A21,'[1]01-数据'!$C$1:$ND$1))," ")</f>
        <v>273.37</v>
      </c>
      <c r="C21" s="11">
        <f>IF(A21&lt;&gt;"",INDEX('[1]01-数据'!$C$3:$ND$3,MATCH(A21,'[1]01-数据'!$C$1:$ND$1))," ")</f>
        <v>5135.31</v>
      </c>
      <c r="D21" s="12">
        <f>IF(A21&lt;&gt;"",INDEX('[1]01-数据'!$C$4:$ND$4,MATCH(A21,'[1]01-数据'!$C$1:$ND$1))," ")</f>
        <v>0.1074</v>
      </c>
      <c r="E21" s="11">
        <f>IF(A21&lt;&gt;"",INDEX('[1]01-数据'!$C$6:$ND$6,MATCH(A21,'[1]01-数据'!$C$1:$ND$1))," ")</f>
        <v>68895.13</v>
      </c>
      <c r="F21" s="15">
        <f>IF(A21&lt;&gt;"",INDEX('[1]01-数据'!$C$7:$ND$7,MATCH(A21,'[1]01-数据'!$C$1:$ND$1))," ")</f>
        <v>0.0809</v>
      </c>
      <c r="G21" s="11">
        <f>IF(A21&lt;&gt;"",INDEX('[1]01-数据'!$C$11:$ND$11,MATCH(A21,'[1]01-数据'!$C$1:$ND$1))," ")</f>
        <v>12.26</v>
      </c>
      <c r="H21" s="11">
        <f>IF(A21&lt;&gt;"",INDEX('[1]01-数据'!$C$14:$ND$14,MATCH(A21,'[1]01-数据'!$C$1:$ND$1))," ")</f>
        <v>8.64</v>
      </c>
    </row>
    <row r="22" spans="1:8">
      <c r="A22" s="10">
        <v>45554</v>
      </c>
      <c r="B22" s="11">
        <f>IF(A22&lt;&gt;"",INDEX('[1]01-数据'!$C$2:$ND$2,MATCH(A22,'[1]01-数据'!$C$1:$ND$1))," ")</f>
        <v>284.49</v>
      </c>
      <c r="C22" s="11">
        <f>IF(A22&lt;&gt;"",INDEX('[1]01-数据'!$C$3:$ND$3,MATCH(A22,'[1]01-数据'!$C$1:$ND$1))," ")</f>
        <v>5419.8</v>
      </c>
      <c r="D22" s="12">
        <f>IF(A22&lt;&gt;"",INDEX('[1]01-数据'!$C$4:$ND$4,MATCH(A22,'[1]01-数据'!$C$1:$ND$1))," ")</f>
        <v>0.1052</v>
      </c>
      <c r="E22" s="11">
        <f>IF(A22&lt;&gt;"",INDEX('[1]01-数据'!$C$6:$ND$6,MATCH(A22,'[1]01-数据'!$C$1:$ND$1))," ")</f>
        <v>69179.61</v>
      </c>
      <c r="F22" s="15">
        <f>IF(A22&lt;&gt;"",INDEX('[1]01-数据'!$C$7:$ND$7,MATCH(A22,'[1]01-数据'!$C$1:$ND$1))," ")</f>
        <v>0.0809</v>
      </c>
      <c r="G22" s="11">
        <f>IF(A22&lt;&gt;"",INDEX('[1]01-数据'!$C$11:$ND$11,MATCH(A22,'[1]01-数据'!$C$1:$ND$1))," ")</f>
        <v>12.56</v>
      </c>
      <c r="H22" s="11">
        <f>IF(A22&lt;&gt;"",INDEX('[1]01-数据'!$C$14:$ND$14,MATCH(A22,'[1]01-数据'!$C$1:$ND$1))," ")</f>
        <v>9.68</v>
      </c>
    </row>
    <row r="23" spans="1:8">
      <c r="A23" s="10">
        <v>45555</v>
      </c>
      <c r="B23" s="11">
        <f>IF(A23&lt;&gt;"",INDEX('[1]01-数据'!$C$2:$ND$2,MATCH(A23,'[1]01-数据'!$C$1:$ND$1))," ")</f>
        <v>285.59</v>
      </c>
      <c r="C23" s="11">
        <f>IF(A23&lt;&gt;"",INDEX('[1]01-数据'!$C$3:$ND$3,MATCH(A23,'[1]01-数据'!$C$1:$ND$1))," ")</f>
        <v>5705.39</v>
      </c>
      <c r="D23" s="12">
        <f>IF(A23&lt;&gt;"",INDEX('[1]01-数据'!$C$4:$ND$4,MATCH(A23,'[1]01-数据'!$C$1:$ND$1))," ")</f>
        <v>0.1048</v>
      </c>
      <c r="E23" s="11">
        <f>IF(A23&lt;&gt;"",INDEX('[1]01-数据'!$C$6:$ND$6,MATCH(A23,'[1]01-数据'!$C$1:$ND$1))," ")</f>
        <v>69465.2</v>
      </c>
      <c r="F23" s="15">
        <f>IF(A23&lt;&gt;"",INDEX('[1]01-数据'!$C$7:$ND$7,MATCH(A23,'[1]01-数据'!$C$1:$ND$1))," ")</f>
        <v>0.0809</v>
      </c>
      <c r="G23" s="11">
        <f>IF(A23&lt;&gt;"",INDEX('[1]01-数据'!$C$11:$ND$11,MATCH(A23,'[1]01-数据'!$C$1:$ND$1))," ")</f>
        <v>12.65</v>
      </c>
      <c r="H23" s="11">
        <f>IF(A23&lt;&gt;"",INDEX('[1]01-数据'!$C$14:$ND$14,MATCH(A23,'[1]01-数据'!$C$1:$ND$1))," ")</f>
        <v>9.79</v>
      </c>
    </row>
    <row r="24" spans="1:8">
      <c r="A24" s="7">
        <v>45556</v>
      </c>
      <c r="B24" s="8">
        <f>IF(A24&lt;&gt;"",INDEX('[1]01-数据'!$C$2:$ND$2,MATCH(A24,'[1]01-数据'!$C$1:$ND$1))," ")</f>
        <v>266.34</v>
      </c>
      <c r="C24" s="8">
        <f>IF(A24&lt;&gt;"",INDEX('[1]01-数据'!$C$3:$ND$3,MATCH(A24,'[1]01-数据'!$C$1:$ND$1))," ")</f>
        <v>5971.72</v>
      </c>
      <c r="D24" s="9">
        <f>IF(A24&lt;&gt;"",INDEX('[1]01-数据'!$C$4:$ND$4,MATCH(A24,'[1]01-数据'!$C$1:$ND$1))," ")</f>
        <v>0.1023</v>
      </c>
      <c r="E24" s="8">
        <f>IF(A24&lt;&gt;"",INDEX('[1]01-数据'!$C$6:$ND$6,MATCH(A24,'[1]01-数据'!$C$1:$ND$1))," ")</f>
        <v>69731.54</v>
      </c>
      <c r="F24" s="14">
        <f>IF(A24&lt;&gt;"",INDEX('[1]01-数据'!$C$7:$ND$7,MATCH(A24,'[1]01-数据'!$C$1:$ND$1))," ")</f>
        <v>0.0808</v>
      </c>
      <c r="G24" s="8">
        <f>IF(A24&lt;&gt;"",INDEX('[1]01-数据'!$C$11:$ND$11,MATCH(A24,'[1]01-数据'!$C$1:$ND$1))," ")</f>
        <v>11.58</v>
      </c>
      <c r="H24" s="8">
        <f>IF(A24&lt;&gt;"",INDEX('[1]01-数据'!$C$14:$ND$14,MATCH(A24,'[1]01-数据'!$C$1:$ND$1))," ")</f>
        <v>9.61</v>
      </c>
    </row>
    <row r="25" spans="1:8">
      <c r="A25" s="7">
        <v>45557</v>
      </c>
      <c r="B25" s="8">
        <f>IF(A25&lt;&gt;"",INDEX('[1]01-数据'!$C$2:$ND$2,MATCH(A25,'[1]01-数据'!$C$1:$ND$1))," ")</f>
        <v>250.52</v>
      </c>
      <c r="C25" s="8">
        <f>IF(A25&lt;&gt;"",INDEX('[1]01-数据'!$C$3:$ND$3,MATCH(A25,'[1]01-数据'!$C$1:$ND$1))," ")</f>
        <v>6222.24</v>
      </c>
      <c r="D25" s="9">
        <f>IF(A25&lt;&gt;"",INDEX('[1]01-数据'!$C$4:$ND$4,MATCH(A25,'[1]01-数据'!$C$1:$ND$1))," ")</f>
        <v>0.0977</v>
      </c>
      <c r="E25" s="8">
        <f>IF(A25&lt;&gt;"",INDEX('[1]01-数据'!$C$6:$ND$6,MATCH(A25,'[1]01-数据'!$C$1:$ND$1))," ")</f>
        <v>69982.05</v>
      </c>
      <c r="F25" s="14">
        <f>IF(A25&lt;&gt;"",INDEX('[1]01-数据'!$C$7:$ND$7,MATCH(A25,'[1]01-数据'!$C$1:$ND$1))," ")</f>
        <v>0.0805</v>
      </c>
      <c r="G25" s="8">
        <f>IF(A25&lt;&gt;"",INDEX('[1]01-数据'!$C$11:$ND$11,MATCH(A25,'[1]01-数据'!$C$1:$ND$1))," ")</f>
        <v>10.78</v>
      </c>
      <c r="H25" s="8">
        <f>IF(A25&lt;&gt;"",INDEX('[1]01-数据'!$C$14:$ND$14,MATCH(A25,'[1]01-数据'!$C$1:$ND$1))," ")</f>
        <v>9.09</v>
      </c>
    </row>
    <row r="26" spans="1:8">
      <c r="A26" s="10">
        <v>45558</v>
      </c>
      <c r="B26" s="11">
        <f>IF(A26&lt;&gt;"",INDEX('[1]01-数据'!$C$2:$ND$2,MATCH(A26,'[1]01-数据'!$C$1:$ND$1))," ")</f>
        <v>249.92</v>
      </c>
      <c r="C26" s="11">
        <f>IF(A26&lt;&gt;"",INDEX('[1]01-数据'!$C$3:$ND$3,MATCH(A26,'[1]01-数据'!$C$1:$ND$1))," ")</f>
        <v>6472.16</v>
      </c>
      <c r="D26" s="12">
        <f>IF(A26&lt;&gt;"",INDEX('[1]01-数据'!$C$4:$ND$4,MATCH(A26,'[1]01-数据'!$C$1:$ND$1))," ")</f>
        <v>0.0942</v>
      </c>
      <c r="E26" s="11">
        <f>IF(A26&lt;&gt;"",INDEX('[1]01-数据'!$C$6:$ND$6,MATCH(A26,'[1]01-数据'!$C$1:$ND$1))," ")</f>
        <v>70231.97</v>
      </c>
      <c r="F26" s="15">
        <f>IF(A26&lt;&gt;"",INDEX('[1]01-数据'!$C$7:$ND$7,MATCH(A26,'[1]01-数据'!$C$1:$ND$1))," ")</f>
        <v>0.0803</v>
      </c>
      <c r="G26" s="11">
        <f>IF(A26&lt;&gt;"",INDEX('[1]01-数据'!$C$11:$ND$11,MATCH(A26,'[1]01-数据'!$C$1:$ND$1))," ")</f>
        <v>10.96</v>
      </c>
      <c r="H26" s="11">
        <f>IF(A26&lt;&gt;"",INDEX('[1]01-数据'!$C$14:$ND$14,MATCH(A26,'[1]01-数据'!$C$1:$ND$1))," ")</f>
        <v>8.67</v>
      </c>
    </row>
    <row r="27" spans="1:8">
      <c r="A27" s="10">
        <v>45559</v>
      </c>
      <c r="B27" s="11">
        <f>IF(A27&lt;&gt;"",INDEX('[3]01-数据'!$C$2:$ND$2,MATCH(A27,'[3]01-数据'!$C$1:$ND$1))," ")</f>
        <v>252.17</v>
      </c>
      <c r="C27" s="11">
        <f>IF(A27&lt;&gt;"",INDEX('[3]01-数据'!$C$3:$ND$3,MATCH(A27,'[3]01-数据'!$C$1:$ND$1))," ")</f>
        <v>6724.32</v>
      </c>
      <c r="D27" s="12">
        <f>IF(A27&lt;&gt;"",INDEX('[3]01-数据'!$C$4:$ND$4,MATCH(A27,'[3]01-数据'!$C$1:$ND$1))," ")</f>
        <v>0.092</v>
      </c>
      <c r="E27" s="11">
        <f>IF(A27&lt;&gt;"",INDEX('[3]01-数据'!$C$6:$ND$6,MATCH(A27,'[3]01-数据'!$C$1:$ND$1))," ")</f>
        <v>70484.14</v>
      </c>
      <c r="F27" s="15">
        <f>IF(A27&lt;&gt;"",INDEX('[3]01-数据'!$C$7:$ND$7,MATCH(A27,'[3]01-数据'!$C$1:$ND$1))," ")</f>
        <v>0.0801</v>
      </c>
      <c r="G27" s="11">
        <f>IF(A27&lt;&gt;"",INDEX('[3]01-数据'!$C$11:$ND$11,MATCH(A27,'[3]01-数据'!$C$1:$ND$1))," ")</f>
        <v>10.97</v>
      </c>
      <c r="H27" s="11">
        <f>IF(A27&lt;&gt;"",INDEX('[3]01-数据'!$C$14:$ND$14,MATCH(A27,'[3]01-数据'!$C$1:$ND$1))," ")</f>
        <v>8.74</v>
      </c>
    </row>
    <row r="28" spans="1:8">
      <c r="A28" s="10">
        <v>45560</v>
      </c>
      <c r="B28" s="11">
        <f>IF(A28&lt;&gt;"",INDEX('[3]01-数据'!$C$2:$ND$2,MATCH(A28,'[3]01-数据'!$C$1:$ND$1))," ")</f>
        <v>256.82</v>
      </c>
      <c r="C28" s="11">
        <f>IF(A28&lt;&gt;"",INDEX('[3]01-数据'!$C$3:$ND$3,MATCH(A28,'[3]01-数据'!$C$1:$ND$1))," ")</f>
        <v>6981.14</v>
      </c>
      <c r="D28" s="12">
        <f>IF(A28&lt;&gt;"",INDEX('[3]01-数据'!$C$4:$ND$4,MATCH(A28,'[3]01-数据'!$C$1:$ND$1))," ")</f>
        <v>0.0895</v>
      </c>
      <c r="E28" s="11">
        <f>IF(A28&lt;&gt;"",INDEX('[3]01-数据'!$C$6:$ND$6,MATCH(A28,'[3]01-数据'!$C$1:$ND$1))," ")</f>
        <v>70740.96</v>
      </c>
      <c r="F28" s="15">
        <f>IF(A28&lt;&gt;"",INDEX('[3]01-数据'!$C$7:$ND$7,MATCH(A28,'[3]01-数据'!$C$1:$ND$1))," ")</f>
        <v>0.0799</v>
      </c>
      <c r="G28" s="11">
        <f>IF(A28&lt;&gt;"",INDEX('[3]01-数据'!$C$11:$ND$11,MATCH(A28,'[3]01-数据'!$C$1:$ND$1))," ")</f>
        <v>11.22</v>
      </c>
      <c r="H28" s="11">
        <f>IF(A28&lt;&gt;"",INDEX('[3]01-数据'!$C$14:$ND$14,MATCH(A28,'[3]01-数据'!$C$1:$ND$1))," ")</f>
        <v>8.82</v>
      </c>
    </row>
    <row r="29" spans="1:8">
      <c r="A29" s="10">
        <v>45561</v>
      </c>
      <c r="B29" s="11">
        <f>IF(A29&lt;&gt;"",INDEX('[3]01-数据'!$C$2:$ND$2,MATCH(A29,'[3]01-数据'!$C$1:$ND$1))," ")</f>
        <v>260.88</v>
      </c>
      <c r="C29" s="11">
        <f>IF(A29&lt;&gt;"",INDEX('[3]01-数据'!$C$3:$ND$3,MATCH(A29,'[3]01-数据'!$C$1:$ND$1))," ")</f>
        <v>7242.02</v>
      </c>
      <c r="D29" s="12">
        <f>IF(A29&lt;&gt;"",INDEX('[3]01-数据'!$C$4:$ND$4,MATCH(A29,'[3]01-数据'!$C$1:$ND$1))," ")</f>
        <v>0.0875</v>
      </c>
      <c r="E29" s="11">
        <f>IF(A29&lt;&gt;"",INDEX('[3]01-数据'!$C$6:$ND$6,MATCH(A29,'[3]01-数据'!$C$1:$ND$1))," ")</f>
        <v>71001.83</v>
      </c>
      <c r="F29" s="15">
        <f>IF(A29&lt;&gt;"",INDEX('[3]01-数据'!$C$7:$ND$7,MATCH(A29,'[3]01-数据'!$C$1:$ND$1))," ")</f>
        <v>0.0797</v>
      </c>
      <c r="G29" s="11">
        <f>IF(A29&lt;&gt;"",INDEX('[3]01-数据'!$C$11:$ND$11,MATCH(A29,'[3]01-数据'!$C$1:$ND$1))," ")</f>
        <v>11.42</v>
      </c>
      <c r="H29" s="11">
        <f>IF(A29&lt;&gt;"",INDEX('[3]01-数据'!$C$14:$ND$14,MATCH(A29,'[3]01-数据'!$C$1:$ND$1))," ")</f>
        <v>8.94</v>
      </c>
    </row>
    <row r="30" spans="1:8">
      <c r="A30" s="10">
        <v>45562</v>
      </c>
      <c r="B30" s="11">
        <f>IF(A30&lt;&gt;"",INDEX('[3]01-数据'!$C$2:$ND$2,MATCH(A30,'[3]01-数据'!$C$1:$ND$1))," ")</f>
        <v>263.59</v>
      </c>
      <c r="C30" s="11">
        <f>IF(A30&lt;&gt;"",INDEX('[3]01-数据'!$C$3:$ND$3,MATCH(A30,'[3]01-数据'!$C$1:$ND$1))," ")</f>
        <v>7505.61</v>
      </c>
      <c r="D30" s="12">
        <f>IF(A30&lt;&gt;"",INDEX('[3]01-数据'!$C$4:$ND$4,MATCH(A30,'[3]01-数据'!$C$1:$ND$1))," ")</f>
        <v>0.086</v>
      </c>
      <c r="E30" s="11">
        <f>IF(A30&lt;&gt;"",INDEX('[3]01-数据'!$C$6:$ND$6,MATCH(A30,'[3]01-数据'!$C$1:$ND$1))," ")</f>
        <v>71265.42</v>
      </c>
      <c r="F30" s="15">
        <f>IF(A30&lt;&gt;"",INDEX('[3]01-数据'!$C$7:$ND$7,MATCH(A30,'[3]01-数据'!$C$1:$ND$1))," ")</f>
        <v>0.0796</v>
      </c>
      <c r="G30" s="11">
        <f>IF(A30&lt;&gt;"",INDEX('[3]01-数据'!$C$11:$ND$11,MATCH(A30,'[3]01-数据'!$C$1:$ND$1))," ")</f>
        <v>11.5</v>
      </c>
      <c r="H30" s="11">
        <f>IF(A30&lt;&gt;"",INDEX('[3]01-数据'!$C$14:$ND$14,MATCH(A30,'[3]01-数据'!$C$1:$ND$1))," ")</f>
        <v>9.02</v>
      </c>
    </row>
    <row r="31" spans="1:8">
      <c r="A31" s="10">
        <v>45563</v>
      </c>
      <c r="B31" s="11">
        <f>IF(A31&lt;&gt;"",INDEX('[3]01-数据'!$C$2:$ND$2,MATCH(A31,'[3]01-数据'!$C$1:$ND$1))," ")</f>
        <v>263.61</v>
      </c>
      <c r="C31" s="11">
        <f>IF(A31&lt;&gt;"",INDEX('[3]01-数据'!$C$3:$ND$3,MATCH(A31,'[3]01-数据'!$C$1:$ND$1))," ")</f>
        <v>7769.22</v>
      </c>
      <c r="D31" s="12">
        <f>IF(A31&lt;&gt;"",INDEX('[3]01-数据'!$C$4:$ND$4,MATCH(A31,'[3]01-数据'!$C$1:$ND$1))," ")</f>
        <v>0.0855</v>
      </c>
      <c r="E31" s="11">
        <f>IF(A31&lt;&gt;"",INDEX('[3]01-数据'!$C$6:$ND$6,MATCH(A31,'[3]01-数据'!$C$1:$ND$1))," ")</f>
        <v>71529.03</v>
      </c>
      <c r="F31" s="15">
        <f>IF(A31&lt;&gt;"",INDEX('[3]01-数据'!$C$7:$ND$7,MATCH(A31,'[3]01-数据'!$C$1:$ND$1))," ")</f>
        <v>0.0796</v>
      </c>
      <c r="G31" s="11">
        <f>IF(A31&lt;&gt;"",INDEX('[3]01-数据'!$C$11:$ND$11,MATCH(A31,'[3]01-数据'!$C$1:$ND$1))," ")</f>
        <v>11.43</v>
      </c>
      <c r="H31" s="11">
        <f>IF(A31&lt;&gt;"",INDEX('[3]01-数据'!$C$14:$ND$14,MATCH(A31,'[3]01-数据'!$C$1:$ND$1))," ")</f>
        <v>9.15</v>
      </c>
    </row>
    <row r="32" spans="1:8">
      <c r="A32" s="10">
        <v>45564</v>
      </c>
      <c r="B32" s="11">
        <f>IF(A32&lt;&gt;"",INDEX('[3]01-数据'!$C$2:$ND$2,MATCH(A32,'[3]01-数据'!$C$1:$ND$1))," ")</f>
        <v>265.5</v>
      </c>
      <c r="C32" s="11">
        <f>IF(A32&lt;&gt;"",INDEX('[3]01-数据'!$C$3:$ND$3,MATCH(A32,'[3]01-数据'!$C$1:$ND$1))," ")</f>
        <v>8034.72</v>
      </c>
      <c r="D32" s="12">
        <f>IF(A32&lt;&gt;"",INDEX('[3]01-数据'!$C$4:$ND$4,MATCH(A32,'[3]01-数据'!$C$1:$ND$1))," ")</f>
        <v>0.0892</v>
      </c>
      <c r="E32" s="11">
        <f>IF(A32&lt;&gt;"",INDEX('[3]01-数据'!$C$6:$ND$6,MATCH(A32,'[3]01-数据'!$C$1:$ND$1))," ")</f>
        <v>71794.53</v>
      </c>
      <c r="F32" s="15">
        <f>IF(A32&lt;&gt;"",INDEX('[3]01-数据'!$C$7:$ND$7,MATCH(A32,'[3]01-数据'!$C$1:$ND$1))," ")</f>
        <v>0.08</v>
      </c>
      <c r="G32" s="11">
        <f>IF(A32&lt;&gt;"",INDEX('[3]01-数据'!$C$11:$ND$11,MATCH(A32,'[3]01-数据'!$C$1:$ND$1))," ")</f>
        <v>11.61</v>
      </c>
      <c r="H32" s="11">
        <f>IF(A32&lt;&gt;"",INDEX('[3]01-数据'!$C$14:$ND$14,MATCH(A32,'[3]01-数据'!$C$1:$ND$1))," ")</f>
        <v>9.13</v>
      </c>
    </row>
    <row r="33" spans="1:8">
      <c r="A33" s="10">
        <v>45565</v>
      </c>
      <c r="B33" s="11">
        <f>IF(A33&lt;&gt;"",INDEX('[3]01-数据'!$C$2:$ND$2,MATCH(A33,'[3]01-数据'!$C$1:$ND$1))," ")</f>
        <v>254.85</v>
      </c>
      <c r="C33" s="11">
        <f>IF(A33&lt;&gt;"",INDEX('[3]01-数据'!$C$3:$ND$3,MATCH(A33,'[3]01-数据'!$C$1:$ND$1))," ")</f>
        <v>8289.57</v>
      </c>
      <c r="D33" s="12">
        <f>IF(A33&lt;&gt;"",INDEX('[3]01-数据'!$C$4:$ND$4,MATCH(A33,'[3]01-数据'!$C$1:$ND$1))," ")</f>
        <v>0.092</v>
      </c>
      <c r="E33" s="11">
        <f>IF(A33&lt;&gt;"",INDEX('[3]01-数据'!$C$6:$ND$6,MATCH(A33,'[3]01-数据'!$C$1:$ND$1))," ")</f>
        <v>72049.38</v>
      </c>
      <c r="F33" s="15">
        <f>IF(A33&lt;&gt;"",INDEX('[3]01-数据'!$C$7:$ND$7,MATCH(A33,'[3]01-数据'!$C$1:$ND$1))," ")</f>
        <v>0.0804</v>
      </c>
      <c r="G33" s="11">
        <f>IF(A33&lt;&gt;"",INDEX('[3]01-数据'!$C$11:$ND$11,MATCH(A33,'[3]01-数据'!$C$1:$ND$1))," ")</f>
        <v>11.25</v>
      </c>
      <c r="H33" s="11">
        <f>IF(A33&lt;&gt;"",INDEX('[3]01-数据'!$C$14:$ND$14,MATCH(A33,'[3]01-数据'!$C$1:$ND$1))," ")</f>
        <v>9.04</v>
      </c>
    </row>
    <row r="34" spans="1:8">
      <c r="A34" s="10"/>
      <c r="B34" s="11"/>
      <c r="C34" s="11"/>
      <c r="D34" s="12"/>
      <c r="E34" s="11"/>
      <c r="F34" s="15"/>
      <c r="G34" s="11"/>
      <c r="H34" s="11"/>
    </row>
    <row r="35" spans="1:8">
      <c r="A35" s="24"/>
      <c r="B35" s="11" t="str">
        <f>IF(A35&lt;&gt;"",INDEX('[1]01-数据'!$C$2:$ND$2,MATCH(A35,'[1]01-数据'!$C$1:$ND$1))," ")</f>
        <v> </v>
      </c>
      <c r="C35" s="11" t="str">
        <f>IF(A35&lt;&gt;"",INDEX('[1]01-数据'!$C$3:$ND$3,MATCH(A35,'[1]01-数据'!$C$1:$ND$1))," ")</f>
        <v> </v>
      </c>
      <c r="D35" s="12" t="str">
        <f>IF(A35&lt;&gt;"",INDEX('[1]01-数据'!$C$4:$ND$4,MATCH(A35,'[1]01-数据'!$C$1:$ND$1))," ")</f>
        <v> </v>
      </c>
      <c r="E35" s="11" t="str">
        <f>IF(A35&lt;&gt;"",INDEX('[1]01-数据'!$C$6:$ND$6,MATCH(A35,'[1]01-数据'!$C$1:$ND$1))," ")</f>
        <v> </v>
      </c>
      <c r="F35" s="15" t="str">
        <f>IF(A35&lt;&gt;"",INDEX('[1]01-数据'!$C$7:$ND$7,MATCH(A35,'[1]01-数据'!$C$1:$ND$1))," ")</f>
        <v> </v>
      </c>
      <c r="G35" s="11" t="str">
        <f>IF(A35&lt;&gt;"",INDEX('[1]01-数据'!$C$11:$ND$11,MATCH(A35,'[1]01-数据'!$C$1:$ND$1))," ")</f>
        <v> </v>
      </c>
      <c r="H35" s="11" t="str">
        <f>IF(A35&lt;&gt;"",INDEX('[1]01-数据'!$C$14:$ND$14,MATCH(A35,'[1]01-数据'!$C$1:$ND$1))," ")</f>
        <v> </v>
      </c>
    </row>
    <row r="36" spans="1:8">
      <c r="A36" s="13" t="s">
        <v>11</v>
      </c>
      <c r="B36" s="13"/>
      <c r="C36" s="13"/>
      <c r="D36" s="13"/>
      <c r="E36" s="13"/>
      <c r="F36" s="13"/>
      <c r="G36" s="16"/>
      <c r="H36" s="16"/>
    </row>
  </sheetData>
  <mergeCells count="2">
    <mergeCell ref="A1:H1"/>
    <mergeCell ref="A2:H2"/>
  </mergeCells>
  <conditionalFormatting sqref="C4:C35">
    <cfRule type="top10" dxfId="0" priority="2" rank="1"/>
  </conditionalFormatting>
  <conditionalFormatting sqref="E4:E35">
    <cfRule type="top10" dxfId="0" priority="1" rank="1"/>
  </conditionalFormatting>
  <pageMargins left="0.75" right="0.75" top="1" bottom="1" header="0.511805555555556" footer="0.511805555555556"/>
  <pageSetup paperSize="9" scale="9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zoomScale="145" zoomScaleNormal="145" workbookViewId="0">
      <pane xSplit="1" ySplit="3" topLeftCell="B4" activePane="bottomRight" state="frozen"/>
      <selection/>
      <selection pane="topRight"/>
      <selection pane="bottomLeft"/>
      <selection pane="bottomRight" activeCell="A29" sqref="$A29:$XFD30"/>
    </sheetView>
  </sheetViews>
  <sheetFormatPr defaultColWidth="9" defaultRowHeight="14.25"/>
  <cols>
    <col min="1" max="1" width="11.5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23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1" customFormat="1" spans="1:8">
      <c r="A4" s="7">
        <v>45566</v>
      </c>
      <c r="B4" s="8">
        <f>IF(A4&lt;&gt;"",INDEX('[3]01-数据'!$C$2:$ND$2,MATCH(A4,'[3]01-数据'!$C$1:$ND$1))," ")</f>
        <v>218.68</v>
      </c>
      <c r="C4" s="8">
        <f>IF(A4&lt;&gt;"",INDEX('[2]01-数据'!$C$3:$ND$3,MATCH(A4,'[2]01-数据'!$C$1:$ND$1))," ")</f>
        <v>218.68</v>
      </c>
      <c r="D4" s="9">
        <f>IF(A4&lt;&gt;"",INDEX('[2]01-数据'!$C$4:$ND$4,MATCH(A4,'[2]01-数据'!$C$1:$ND$1))," ")</f>
        <v>0.0513</v>
      </c>
      <c r="E4" s="8">
        <f>IF(A4&lt;&gt;"",INDEX('[2]01-数据'!$C$6:$ND$6,MATCH(A4,'[2]01-数据'!$C$1:$ND$1))," ")</f>
        <v>72268.06</v>
      </c>
      <c r="F4" s="14">
        <f>IF(A4&lt;&gt;"",INDEX('[2]01-数据'!$C$7:$ND$7,MATCH(A4,'[2]01-数据'!$C$1:$ND$1))," ")</f>
        <v>0.0803</v>
      </c>
      <c r="G4" s="8">
        <f>IF(A4&lt;&gt;"",INDEX('[2]01-数据'!$C$11:$ND$11,MATCH(A4,'[2]01-数据'!$C$1:$ND$1))," ")</f>
        <v>9.38</v>
      </c>
      <c r="H4" s="8">
        <f>IF(A4&lt;&gt;"",INDEX('[2]01-数据'!$C$14:$ND$14,MATCH(A4,'[2]01-数据'!$C$1:$ND$1))," ")</f>
        <v>8.05</v>
      </c>
    </row>
    <row r="5" s="1" customFormat="1" spans="1:8">
      <c r="A5" s="7">
        <v>45567</v>
      </c>
      <c r="B5" s="8">
        <f>IF(A5&lt;&gt;"",INDEX('[3]01-数据'!$C$2:$ND$2,MATCH(A5,'[3]01-数据'!$C$1:$ND$1))," ")</f>
        <v>209.84</v>
      </c>
      <c r="C5" s="8">
        <f>IF(A5&lt;&gt;"",INDEX('[2]01-数据'!$C$3:$ND$3,MATCH(A5,'[2]01-数据'!$C$1:$ND$1))," ")</f>
        <v>428.52</v>
      </c>
      <c r="D5" s="9">
        <f>IF(A5&lt;&gt;"",INDEX('[2]01-数据'!$C$4:$ND$4,MATCH(A5,'[2]01-数据'!$C$1:$ND$1))," ")</f>
        <v>0.0206</v>
      </c>
      <c r="E5" s="8">
        <f>IF(A5&lt;&gt;"",INDEX('[2]01-数据'!$C$6:$ND$6,MATCH(A5,'[2]01-数据'!$C$1:$ND$1))," ")</f>
        <v>72477.9</v>
      </c>
      <c r="F5" s="14">
        <f>IF(A5&lt;&gt;"",INDEX('[2]01-数据'!$C$7:$ND$7,MATCH(A5,'[2]01-数据'!$C$1:$ND$1))," ")</f>
        <v>0.08</v>
      </c>
      <c r="G5" s="8">
        <f>IF(A5&lt;&gt;"",INDEX('[2]01-数据'!$C$11:$ND$11,MATCH(A5,'[2]01-数据'!$C$1:$ND$1))," ")</f>
        <v>9.13</v>
      </c>
      <c r="H5" s="8">
        <f>IF(A5&lt;&gt;"",INDEX('[2]01-数据'!$C$14:$ND$14,MATCH(A5,'[2]01-数据'!$C$1:$ND$1))," ")</f>
        <v>7.45</v>
      </c>
    </row>
    <row r="6" s="1" customFormat="1" spans="1:8">
      <c r="A6" s="7">
        <v>45568</v>
      </c>
      <c r="B6" s="8">
        <f>IF(A6&lt;&gt;"",INDEX('[3]01-数据'!$C$2:$ND$2,MATCH(A6,'[3]01-数据'!$C$1:$ND$1))," ")</f>
        <v>214.36</v>
      </c>
      <c r="C6" s="8">
        <f>IF(A6&lt;&gt;"",INDEX('[2]01-数据'!$C$3:$ND$3,MATCH(A6,'[2]01-数据'!$C$1:$ND$1))," ")</f>
        <v>642.88</v>
      </c>
      <c r="D6" s="9">
        <f>IF(A6&lt;&gt;"",INDEX('[2]01-数据'!$C$4:$ND$4,MATCH(A6,'[2]01-数据'!$C$1:$ND$1))," ")</f>
        <v>0.0062</v>
      </c>
      <c r="E6" s="8">
        <f>IF(A6&lt;&gt;"",INDEX('[2]01-数据'!$C$6:$ND$6,MATCH(A6,'[2]01-数据'!$C$1:$ND$1))," ")</f>
        <v>72692.26</v>
      </c>
      <c r="F6" s="14">
        <f>IF(A6&lt;&gt;"",INDEX('[2]01-数据'!$C$7:$ND$7,MATCH(A6,'[2]01-数据'!$C$1:$ND$1))," ")</f>
        <v>0.0797</v>
      </c>
      <c r="G6" s="8">
        <f>IF(A6&lt;&gt;"",INDEX('[2]01-数据'!$C$11:$ND$11,MATCH(A6,'[2]01-数据'!$C$1:$ND$1))," ")</f>
        <v>9.33</v>
      </c>
      <c r="H6" s="8">
        <f>IF(A6&lt;&gt;"",INDEX('[2]01-数据'!$C$14:$ND$14,MATCH(A6,'[2]01-数据'!$C$1:$ND$1))," ")</f>
        <v>7.45</v>
      </c>
    </row>
    <row r="7" s="1" customFormat="1" spans="1:8">
      <c r="A7" s="7">
        <v>45569</v>
      </c>
      <c r="B7" s="8">
        <f>IF(A7&lt;&gt;"",INDEX('[3]01-数据'!$C$2:$ND$2,MATCH(A7,'[3]01-数据'!$C$1:$ND$1))," ")</f>
        <v>223.47</v>
      </c>
      <c r="C7" s="8">
        <f>IF(A7&lt;&gt;"",INDEX('[2]01-数据'!$C$3:$ND$3,MATCH(A7,'[2]01-数据'!$C$1:$ND$1))," ")</f>
        <v>866.35</v>
      </c>
      <c r="D7" s="9">
        <f>IF(A7&lt;&gt;"",INDEX('[2]01-数据'!$C$4:$ND$4,MATCH(A7,'[2]01-数据'!$C$1:$ND$1))," ")</f>
        <v>-0.0027</v>
      </c>
      <c r="E7" s="8">
        <f>IF(A7&lt;&gt;"",INDEX('[2]01-数据'!$C$6:$ND$6,MATCH(A7,'[2]01-数据'!$C$1:$ND$1))," ")</f>
        <v>72915.73</v>
      </c>
      <c r="F7" s="14">
        <f>IF(A7&lt;&gt;"",INDEX('[2]01-数据'!$C$7:$ND$7,MATCH(A7,'[2]01-数据'!$C$1:$ND$1))," ")</f>
        <v>0.0793</v>
      </c>
      <c r="G7" s="8">
        <f>IF(A7&lt;&gt;"",INDEX('[2]01-数据'!$C$11:$ND$11,MATCH(A7,'[2]01-数据'!$C$1:$ND$1))," ")</f>
        <v>9.75</v>
      </c>
      <c r="H7" s="8">
        <f>IF(A7&lt;&gt;"",INDEX('[2]01-数据'!$C$14:$ND$14,MATCH(A7,'[2]01-数据'!$C$1:$ND$1))," ")</f>
        <v>7.66</v>
      </c>
    </row>
    <row r="8" s="1" customFormat="1" spans="1:8">
      <c r="A8" s="7">
        <v>45570</v>
      </c>
      <c r="B8" s="8">
        <f>IF(A8&lt;&gt;"",INDEX('[3]01-数据'!$C$2:$ND$2,MATCH(A8,'[3]01-数据'!$C$1:$ND$1))," ")</f>
        <v>231.95</v>
      </c>
      <c r="C8" s="8">
        <f>IF(A8&lt;&gt;"",INDEX('[2]01-数据'!$C$3:$ND$3,MATCH(A8,'[2]01-数据'!$C$1:$ND$1))," ")</f>
        <v>1098.3</v>
      </c>
      <c r="D8" s="9">
        <f>IF(A8&lt;&gt;"",INDEX('[2]01-数据'!$C$4:$ND$4,MATCH(A8,'[2]01-数据'!$C$1:$ND$1))," ")</f>
        <v>-0.003</v>
      </c>
      <c r="E8" s="8">
        <f>IF(A8&lt;&gt;"",INDEX('[2]01-数据'!$C$6:$ND$6,MATCH(A8,'[2]01-数据'!$C$1:$ND$1))," ")</f>
        <v>73147.69</v>
      </c>
      <c r="F8" s="14">
        <f>IF(A8&lt;&gt;"",INDEX('[2]01-数据'!$C$7:$ND$7,MATCH(A8,'[2]01-数据'!$C$1:$ND$1))," ")</f>
        <v>0.079</v>
      </c>
      <c r="G8" s="8">
        <f>IF(A8&lt;&gt;"",INDEX('[2]01-数据'!$C$11:$ND$11,MATCH(A8,'[2]01-数据'!$C$1:$ND$1))," ")</f>
        <v>10.05</v>
      </c>
      <c r="H8" s="8">
        <f>IF(A8&lt;&gt;"",INDEX('[2]01-数据'!$C$14:$ND$14,MATCH(A8,'[2]01-数据'!$C$1:$ND$1))," ")</f>
        <v>8.04</v>
      </c>
    </row>
    <row r="9" s="1" customFormat="1" spans="1:8">
      <c r="A9" s="7">
        <v>45571</v>
      </c>
      <c r="B9" s="8">
        <f>IF(A9&lt;&gt;"",INDEX('[3]01-数据'!$C$2:$ND$2,MATCH(A9,'[3]01-数据'!$C$1:$ND$1))," ")</f>
        <v>237.1</v>
      </c>
      <c r="C9" s="8">
        <f>IF(A9&lt;&gt;"",INDEX('[2]01-数据'!$C$3:$ND$3,MATCH(A9,'[2]01-数据'!$C$1:$ND$1))," ")</f>
        <v>1335.4</v>
      </c>
      <c r="D9" s="9">
        <f>IF(A9&lt;&gt;"",INDEX('[2]01-数据'!$C$4:$ND$4,MATCH(A9,'[2]01-数据'!$C$1:$ND$1))," ")</f>
        <v>0.0002</v>
      </c>
      <c r="E9" s="8">
        <f>IF(A9&lt;&gt;"",INDEX('[2]01-数据'!$C$6:$ND$6,MATCH(A9,'[2]01-数据'!$C$1:$ND$1))," ")</f>
        <v>73384.79</v>
      </c>
      <c r="F9" s="14">
        <f>IF(A9&lt;&gt;"",INDEX('[2]01-数据'!$C$7:$ND$7,MATCH(A9,'[2]01-数据'!$C$1:$ND$1))," ")</f>
        <v>0.0788</v>
      </c>
      <c r="G9" s="8">
        <f>IF(A9&lt;&gt;"",INDEX('[2]01-数据'!$C$11:$ND$11,MATCH(A9,'[2]01-数据'!$C$1:$ND$1))," ")</f>
        <v>10.26</v>
      </c>
      <c r="H9" s="8">
        <f>IF(A9&lt;&gt;"",INDEX('[2]01-数据'!$C$14:$ND$14,MATCH(A9,'[2]01-数据'!$C$1:$ND$1))," ")</f>
        <v>8.23</v>
      </c>
    </row>
    <row r="10" s="1" customFormat="1" spans="1:8">
      <c r="A10" s="7">
        <v>45572</v>
      </c>
      <c r="B10" s="8">
        <f>IF(A10&lt;&gt;"",INDEX('[3]01-数据'!$C$2:$ND$2,MATCH(A10,'[3]01-数据'!$C$1:$ND$1))," ")</f>
        <v>242.37</v>
      </c>
      <c r="C10" s="8">
        <f>IF(A10&lt;&gt;"",INDEX('[2]01-数据'!$C$3:$ND$3,MATCH(A10,'[2]01-数据'!$C$1:$ND$1))," ")</f>
        <v>1577.78</v>
      </c>
      <c r="D10" s="9">
        <f>IF(A10&lt;&gt;"",INDEX('[2]01-数据'!$C$4:$ND$4,MATCH(A10,'[2]01-数据'!$C$1:$ND$1))," ")</f>
        <v>0.0062</v>
      </c>
      <c r="E10" s="8">
        <f>IF(A10&lt;&gt;"",INDEX('[2]01-数据'!$C$6:$ND$6,MATCH(A10,'[2]01-数据'!$C$1:$ND$1))," ")</f>
        <v>73627.16</v>
      </c>
      <c r="F10" s="14">
        <f>IF(A10&lt;&gt;"",INDEX('[2]01-数据'!$C$7:$ND$7,MATCH(A10,'[2]01-数据'!$C$1:$ND$1))," ")</f>
        <v>0.0787</v>
      </c>
      <c r="G10" s="8">
        <f>IF(A10&lt;&gt;"",INDEX('[2]01-数据'!$C$11:$ND$11,MATCH(A10,'[2]01-数据'!$C$1:$ND$1))," ")</f>
        <v>10.52</v>
      </c>
      <c r="H10" s="8">
        <f>IF(A10&lt;&gt;"",INDEX('[2]01-数据'!$C$14:$ND$14,MATCH(A10,'[2]01-数据'!$C$1:$ND$1))," ")</f>
        <v>8.38</v>
      </c>
    </row>
    <row r="11" spans="1:8">
      <c r="A11" s="10">
        <v>45573</v>
      </c>
      <c r="B11" s="11">
        <f>IF(A11&lt;&gt;"",INDEX('[3]01-数据'!$C$2:$ND$2,MATCH(A11,'[3]01-数据'!$C$1:$ND$1))," ")</f>
        <v>245.65</v>
      </c>
      <c r="C11" s="11">
        <f>IF(A11&lt;&gt;"",INDEX('[2]01-数据'!$C$3:$ND$3,MATCH(A11,'[2]01-数据'!$C$1:$ND$1))," ")</f>
        <v>1823.43</v>
      </c>
      <c r="D11" s="12">
        <f>IF(A11&lt;&gt;"",INDEX('[2]01-数据'!$C$4:$ND$4,MATCH(A11,'[2]01-数据'!$C$1:$ND$1))," ")</f>
        <v>0.0142</v>
      </c>
      <c r="E11" s="11">
        <f>IF(A11&lt;&gt;"",INDEX('[2]01-数据'!$C$6:$ND$6,MATCH(A11,'[2]01-数据'!$C$1:$ND$1))," ")</f>
        <v>73872.81</v>
      </c>
      <c r="F11" s="15">
        <f>IF(A11&lt;&gt;"",INDEX('[2]01-数据'!$C$7:$ND$7,MATCH(A11,'[2]01-数据'!$C$1:$ND$1))," ")</f>
        <v>0.0786</v>
      </c>
      <c r="G11" s="11">
        <f>IF(A11&lt;&gt;"",INDEX('[2]01-数据'!$C$11:$ND$11,MATCH(A11,'[2]01-数据'!$C$1:$ND$1))," ")</f>
        <v>10.64</v>
      </c>
      <c r="H11" s="11">
        <f>IF(A11&lt;&gt;"",INDEX('[2]01-数据'!$C$14:$ND$14,MATCH(A11,'[2]01-数据'!$C$1:$ND$1))," ")</f>
        <v>8.46</v>
      </c>
    </row>
    <row r="12" spans="1:8">
      <c r="A12" s="10">
        <v>45574</v>
      </c>
      <c r="B12" s="11">
        <f>IF(A12&lt;&gt;"",INDEX('[3]01-数据'!$C$2:$ND$2,MATCH(A12,'[3]01-数据'!$C$1:$ND$1))," ")</f>
        <v>244.83</v>
      </c>
      <c r="C12" s="11">
        <f>IF(A12&lt;&gt;"",INDEX('[4]01-数据'!$C$3:$ND$3,MATCH(A12,'[4]01-数据'!$C$1:$ND$1))," ")</f>
        <v>2068.26</v>
      </c>
      <c r="D12" s="12">
        <f>IF(A12&lt;&gt;"",INDEX('[4]01-数据'!$C$4:$ND$4,MATCH(A12,'[4]01-数据'!$C$1:$ND$1))," ")</f>
        <v>0.0191</v>
      </c>
      <c r="E12" s="11">
        <f>IF(A12&lt;&gt;"",INDEX('[4]01-数据'!$C$6:$ND$6,MATCH(A12,'[4]01-数据'!$C$1:$ND$1))," ")</f>
        <v>74117.64</v>
      </c>
      <c r="F12" s="15">
        <f>IF(A12&lt;&gt;"",INDEX('[4]01-数据'!$C$7:$ND$7,MATCH(A12,'[4]01-数据'!$C$1:$ND$1))," ")</f>
        <v>0.0785</v>
      </c>
      <c r="G12" s="11">
        <f>IF(A12&lt;&gt;"",INDEX('[4]01-数据'!$C$11:$ND$11,MATCH(A12,'[4]01-数据'!$C$1:$ND$1))," ")</f>
        <v>10.57</v>
      </c>
      <c r="H12" s="11">
        <f>IF(A12&lt;&gt;"",INDEX('[4]01-数据'!$C$14:$ND$14,MATCH(A12,'[4]01-数据'!$C$1:$ND$1))," ")</f>
        <v>8.5</v>
      </c>
    </row>
    <row r="13" spans="1:11">
      <c r="A13" s="10">
        <v>45575</v>
      </c>
      <c r="B13" s="11">
        <f>IF(A13&lt;&gt;"",INDEX('[3]01-数据'!$C$2:$ND$2,MATCH(A13,'[3]01-数据'!$C$1:$ND$1))," ")</f>
        <v>244.58</v>
      </c>
      <c r="C13" s="11">
        <f>IF(A13&lt;&gt;"",INDEX('[5]01-数据'!$C$3:$ND$3,MATCH(A13,'[5]01-数据'!$C$1:$ND$1))," ")</f>
        <v>2311.65</v>
      </c>
      <c r="D13" s="12">
        <f>IF(A13&lt;&gt;"",INDEX('[5]01-数据'!$C$4:$ND$4,MATCH(A13,'[5]01-数据'!$C$1:$ND$1))," ")</f>
        <v>0.0218</v>
      </c>
      <c r="E13" s="11">
        <f>IF(A13&lt;&gt;"",INDEX('[5]01-数据'!$C$6:$ND$6,MATCH(A13,'[5]01-数据'!$C$1:$ND$1))," ")</f>
        <v>74361.04</v>
      </c>
      <c r="F13" s="15">
        <f>IF(A13&lt;&gt;"",INDEX('[5]01-数据'!$C$7:$ND$7,MATCH(A13,'[5]01-数据'!$C$1:$ND$1))," ")</f>
        <v>0.0784</v>
      </c>
      <c r="G13" s="11">
        <f>IF(A13&lt;&gt;"",INDEX('[5]01-数据'!$C$11:$ND$11,MATCH(A13,'[5]01-数据'!$C$1:$ND$1))," ")</f>
        <v>10.59</v>
      </c>
      <c r="H13" s="11">
        <f>IF(A13&lt;&gt;"",INDEX('[5]01-数据'!$C$14:$ND$14,MATCH(A13,'[5]01-数据'!$C$1:$ND$1))," ")</f>
        <v>8.49</v>
      </c>
      <c r="K13" s="17"/>
    </row>
    <row r="14" spans="1:11">
      <c r="A14" s="10">
        <v>45576</v>
      </c>
      <c r="B14" s="11">
        <f>IF(A14&lt;&gt;"",INDEX('[3]01-数据'!$C$2:$ND$2,MATCH(A14,'[3]01-数据'!$C$1:$ND$1))," ")</f>
        <v>246.13</v>
      </c>
      <c r="C14" s="11">
        <f>IF(A14&lt;&gt;"",INDEX('[5]01-数据'!$C$3:$ND$3,MATCH(A14,'[5]01-数据'!$C$1:$ND$1))," ")</f>
        <v>2557.78</v>
      </c>
      <c r="D14" s="12">
        <f>IF(A14&lt;&gt;"",INDEX('[5]01-数据'!$C$4:$ND$4,MATCH(A14,'[5]01-数据'!$C$1:$ND$1))," ")</f>
        <v>0.0249</v>
      </c>
      <c r="E14" s="11">
        <f>IF(A14&lt;&gt;"",INDEX('[5]01-数据'!$C$6:$ND$6,MATCH(A14,'[5]01-数据'!$C$1:$ND$1))," ")</f>
        <v>74607.16</v>
      </c>
      <c r="F14" s="15">
        <f>IF(A14&lt;&gt;"",INDEX('[5]01-数据'!$C$7:$ND$7,MATCH(A14,'[5]01-数据'!$C$1:$ND$1))," ")</f>
        <v>0.0784</v>
      </c>
      <c r="G14" s="11">
        <f>IF(A14&lt;&gt;"",INDEX('[5]01-数据'!$C$11:$ND$11,MATCH(A14,'[5]01-数据'!$C$1:$ND$1))," ")</f>
        <v>10.65</v>
      </c>
      <c r="H14" s="11">
        <f>IF(A14&lt;&gt;"",INDEX('[5]01-数据'!$C$14:$ND$14,MATCH(A14,'[5]01-数据'!$C$1:$ND$1))," ")</f>
        <v>8.54</v>
      </c>
      <c r="K14" s="17"/>
    </row>
    <row r="15" spans="1:11">
      <c r="A15" s="10">
        <v>45577</v>
      </c>
      <c r="B15" s="11">
        <f>IF(A15&lt;&gt;"",INDEX('[3]01-数据'!$C$2:$ND$2,MATCH(A15,'[3]01-数据'!$C$1:$ND$1))," ")</f>
        <v>247.24</v>
      </c>
      <c r="C15" s="11">
        <f>IF(A15&lt;&gt;"",INDEX('[5]01-数据'!$C$3:$ND$3,MATCH(A15,'[5]01-数据'!$C$1:$ND$1))," ")</f>
        <v>2805.02</v>
      </c>
      <c r="D15" s="12">
        <f>IF(A15&lt;&gt;"",INDEX('[5]01-数据'!$C$4:$ND$4,MATCH(A15,'[5]01-数据'!$C$1:$ND$1))," ")</f>
        <v>0.0275</v>
      </c>
      <c r="E15" s="11">
        <f>IF(A15&lt;&gt;"",INDEX('[5]01-数据'!$C$6:$ND$6,MATCH(A15,'[5]01-数据'!$C$1:$ND$1))," ")</f>
        <v>74854.4</v>
      </c>
      <c r="F15" s="15">
        <f>IF(A15&lt;&gt;"",INDEX('[5]01-数据'!$C$7:$ND$7,MATCH(A15,'[5]01-数据'!$C$1:$ND$1))," ")</f>
        <v>0.0783</v>
      </c>
      <c r="G15" s="11">
        <f>IF(A15&lt;&gt;"",INDEX('[5]01-数据'!$C$11:$ND$11,MATCH(A15,'[5]01-数据'!$C$1:$ND$1))," ")</f>
        <v>10.76</v>
      </c>
      <c r="H15" s="11">
        <f>IF(A15&lt;&gt;"",INDEX('[5]01-数据'!$C$14:$ND$14,MATCH(A15,'[5]01-数据'!$C$1:$ND$1))," ")</f>
        <v>8.6</v>
      </c>
      <c r="K15" s="17"/>
    </row>
    <row r="16" s="1" customFormat="1" spans="1:8">
      <c r="A16" s="7">
        <v>45578</v>
      </c>
      <c r="B16" s="8">
        <f>IF(A16&lt;&gt;"",INDEX('[3]01-数据'!$C$2:$ND$2,MATCH(A16,'[3]01-数据'!$C$1:$ND$1))," ")</f>
        <v>242.55</v>
      </c>
      <c r="C16" s="8">
        <f>IF(A16&lt;&gt;"",INDEX('[5]01-数据'!$C$3:$ND$3,MATCH(A16,'[5]01-数据'!$C$1:$ND$1))," ")</f>
        <v>3047.56</v>
      </c>
      <c r="D16" s="9">
        <f>IF(A16&lt;&gt;"",INDEX('[5]01-数据'!$C$4:$ND$4,MATCH(A16,'[5]01-数据'!$C$1:$ND$1))," ")</f>
        <v>0.0276</v>
      </c>
      <c r="E16" s="8">
        <f>IF(A16&lt;&gt;"",INDEX('[5]01-数据'!$C$6:$ND$6,MATCH(A16,'[5]01-数据'!$C$1:$ND$1))," ")</f>
        <v>75096.95</v>
      </c>
      <c r="F16" s="14">
        <f>IF(A16&lt;&gt;"",INDEX('[5]01-数据'!$C$7:$ND$7,MATCH(A16,'[5]01-数据'!$C$1:$ND$1))," ")</f>
        <v>0.0781</v>
      </c>
      <c r="G16" s="8">
        <f>IF(A16&lt;&gt;"",INDEX('[5]01-数据'!$C$11:$ND$11,MATCH(A16,'[5]01-数据'!$C$1:$ND$1))," ")</f>
        <v>10.43</v>
      </c>
      <c r="H16" s="8">
        <f>IF(A16&lt;&gt;"",INDEX('[5]01-数据'!$C$14:$ND$14,MATCH(A16,'[5]01-数据'!$C$1:$ND$1))," ")</f>
        <v>8.58</v>
      </c>
    </row>
    <row r="17" spans="1:8">
      <c r="A17" s="10">
        <v>45579</v>
      </c>
      <c r="B17" s="11">
        <v>250.44</v>
      </c>
      <c r="C17" s="11">
        <v>3298.01</v>
      </c>
      <c r="D17" s="12">
        <v>0.0312</v>
      </c>
      <c r="E17" s="11">
        <v>75347.39</v>
      </c>
      <c r="F17" s="15">
        <v>0.0781</v>
      </c>
      <c r="G17" s="11">
        <v>10.94</v>
      </c>
      <c r="H17" s="11">
        <v>8.5</v>
      </c>
    </row>
    <row r="18" spans="1:8">
      <c r="A18" s="10">
        <v>45580</v>
      </c>
      <c r="B18" s="11">
        <v>251.18</v>
      </c>
      <c r="C18" s="11">
        <v>3549.18</v>
      </c>
      <c r="D18" s="12">
        <v>0.0363</v>
      </c>
      <c r="E18" s="11">
        <v>75598.57</v>
      </c>
      <c r="F18" s="15">
        <v>0.0782</v>
      </c>
      <c r="G18" s="11">
        <v>10.94</v>
      </c>
      <c r="H18" s="11">
        <v>8.74</v>
      </c>
    </row>
    <row r="19" spans="1:8">
      <c r="A19" s="10">
        <v>45581</v>
      </c>
      <c r="B19" s="11">
        <v>252.45</v>
      </c>
      <c r="C19" s="11">
        <v>3801.64</v>
      </c>
      <c r="D19" s="12">
        <v>0.0397</v>
      </c>
      <c r="E19" s="11">
        <v>75851.02</v>
      </c>
      <c r="F19" s="15">
        <v>0.0782</v>
      </c>
      <c r="G19" s="11">
        <v>11.02</v>
      </c>
      <c r="H19" s="11">
        <v>8.76</v>
      </c>
    </row>
    <row r="20" spans="1:8">
      <c r="A20" s="10">
        <v>45582</v>
      </c>
      <c r="B20" s="11">
        <v>253.95</v>
      </c>
      <c r="C20" s="11">
        <v>4055.59</v>
      </c>
      <c r="D20" s="12">
        <v>0.0423</v>
      </c>
      <c r="E20" s="11">
        <v>76104.97</v>
      </c>
      <c r="F20" s="15">
        <v>0.0783</v>
      </c>
      <c r="G20" s="11">
        <v>11.1</v>
      </c>
      <c r="H20" s="11">
        <v>8.81</v>
      </c>
    </row>
    <row r="21" spans="1:8">
      <c r="A21" s="10">
        <v>45583</v>
      </c>
      <c r="B21" s="11">
        <v>255.09</v>
      </c>
      <c r="C21" s="11">
        <v>4310.68</v>
      </c>
      <c r="D21" s="12">
        <v>0.0446</v>
      </c>
      <c r="E21" s="11">
        <v>76360.06</v>
      </c>
      <c r="F21" s="15">
        <v>0.0783</v>
      </c>
      <c r="G21" s="11">
        <v>11.18</v>
      </c>
      <c r="H21" s="11">
        <v>8.83</v>
      </c>
    </row>
    <row r="22" s="1" customFormat="1" spans="1:8">
      <c r="A22" s="7">
        <v>45584</v>
      </c>
      <c r="B22" s="8">
        <v>251.34</v>
      </c>
      <c r="C22" s="8">
        <v>4562.02</v>
      </c>
      <c r="D22" s="9">
        <v>0.0453</v>
      </c>
      <c r="E22" s="8">
        <v>76611.4</v>
      </c>
      <c r="F22" s="14">
        <v>0.0782</v>
      </c>
      <c r="G22" s="8">
        <v>10.91</v>
      </c>
      <c r="H22" s="8">
        <v>8.86</v>
      </c>
    </row>
    <row r="23" s="1" customFormat="1" spans="1:8">
      <c r="A23" s="7">
        <v>45585</v>
      </c>
      <c r="B23" s="8">
        <v>245.01</v>
      </c>
      <c r="C23" s="8">
        <v>4807.02</v>
      </c>
      <c r="D23" s="9">
        <v>0.0448</v>
      </c>
      <c r="E23" s="8">
        <v>76856.4</v>
      </c>
      <c r="F23" s="14">
        <v>0.0781</v>
      </c>
      <c r="G23" s="8">
        <v>10.5</v>
      </c>
      <c r="H23" s="8">
        <v>8.74</v>
      </c>
    </row>
    <row r="24" spans="1:8">
      <c r="A24" s="10">
        <v>45586</v>
      </c>
      <c r="B24" s="11">
        <v>251.62</v>
      </c>
      <c r="C24" s="11">
        <v>5058.64</v>
      </c>
      <c r="D24" s="12">
        <v>0.0466</v>
      </c>
      <c r="E24" s="11">
        <v>77108.02</v>
      </c>
      <c r="F24" s="15">
        <v>0.0781</v>
      </c>
      <c r="G24" s="11">
        <v>11.02</v>
      </c>
      <c r="H24" s="11">
        <v>8.54</v>
      </c>
    </row>
    <row r="25" spans="1:8">
      <c r="A25" s="10">
        <v>45587</v>
      </c>
      <c r="B25" s="11">
        <v>253.06</v>
      </c>
      <c r="C25" s="11">
        <v>5311.69</v>
      </c>
      <c r="D25" s="12">
        <v>0.0496</v>
      </c>
      <c r="E25" s="11">
        <v>77361.08</v>
      </c>
      <c r="F25" s="15">
        <v>0.0782</v>
      </c>
      <c r="G25" s="11">
        <v>11.02</v>
      </c>
      <c r="H25" s="11">
        <v>8.82</v>
      </c>
    </row>
    <row r="26" spans="1:8">
      <c r="A26" s="10">
        <v>45588</v>
      </c>
      <c r="B26" s="11">
        <v>248.48</v>
      </c>
      <c r="C26" s="11">
        <v>5560.18</v>
      </c>
      <c r="D26" s="12">
        <v>0.0501</v>
      </c>
      <c r="E26" s="11">
        <v>77609.56</v>
      </c>
      <c r="F26" s="15">
        <v>0.0781</v>
      </c>
      <c r="G26" s="11">
        <v>10.74</v>
      </c>
      <c r="H26" s="11">
        <v>8.72</v>
      </c>
    </row>
    <row r="27" spans="1:8">
      <c r="A27" s="10">
        <v>45589</v>
      </c>
      <c r="B27" s="11">
        <v>246.27</v>
      </c>
      <c r="C27" s="11">
        <v>5806.45</v>
      </c>
      <c r="D27" s="12">
        <v>0.0495</v>
      </c>
      <c r="E27" s="11">
        <v>77855.83</v>
      </c>
      <c r="F27" s="15">
        <v>0.078</v>
      </c>
      <c r="G27" s="11">
        <v>10.69</v>
      </c>
      <c r="H27" s="11">
        <v>8.64</v>
      </c>
    </row>
    <row r="28" spans="1:8">
      <c r="A28" s="10">
        <v>45590</v>
      </c>
      <c r="B28" s="11">
        <v>247.11</v>
      </c>
      <c r="C28" s="11">
        <v>6053.56</v>
      </c>
      <c r="D28" s="12">
        <v>0.0486</v>
      </c>
      <c r="E28" s="11">
        <v>78102.94</v>
      </c>
      <c r="F28" s="15">
        <v>0.0778</v>
      </c>
      <c r="G28" s="11">
        <v>10.7</v>
      </c>
      <c r="H28" s="11">
        <v>8.57</v>
      </c>
    </row>
    <row r="29" s="1" customFormat="1" spans="1:8">
      <c r="A29" s="7">
        <v>45591</v>
      </c>
      <c r="B29" s="8">
        <v>245.67</v>
      </c>
      <c r="C29" s="8">
        <v>6299.23</v>
      </c>
      <c r="D29" s="9">
        <v>0.0475</v>
      </c>
      <c r="E29" s="8">
        <v>78348.61</v>
      </c>
      <c r="F29" s="14">
        <v>0.0776</v>
      </c>
      <c r="G29" s="8">
        <v>10.64</v>
      </c>
      <c r="H29" s="8">
        <v>8.62</v>
      </c>
    </row>
    <row r="30" s="1" customFormat="1" spans="1:8">
      <c r="A30" s="7">
        <v>45592</v>
      </c>
      <c r="B30" s="8">
        <v>240.36</v>
      </c>
      <c r="C30" s="8">
        <v>6539.59</v>
      </c>
      <c r="D30" s="9">
        <v>0.0457</v>
      </c>
      <c r="E30" s="8">
        <v>78588.98</v>
      </c>
      <c r="F30" s="14">
        <v>0.0774</v>
      </c>
      <c r="G30" s="8">
        <v>10.4</v>
      </c>
      <c r="H30" s="8">
        <v>8.55</v>
      </c>
    </row>
    <row r="31" spans="1:8">
      <c r="A31" s="10">
        <v>45593</v>
      </c>
      <c r="B31" s="11">
        <v>245.25</v>
      </c>
      <c r="C31" s="11">
        <v>6784.84</v>
      </c>
      <c r="D31" s="12">
        <v>0.0455</v>
      </c>
      <c r="E31" s="11">
        <v>78834.22</v>
      </c>
      <c r="F31" s="15">
        <v>0.0773</v>
      </c>
      <c r="G31" s="11">
        <v>10.69</v>
      </c>
      <c r="H31" s="11">
        <v>8.43</v>
      </c>
    </row>
    <row r="32" spans="1:8">
      <c r="A32" s="10">
        <v>45594</v>
      </c>
      <c r="B32" s="11">
        <v>246.36</v>
      </c>
      <c r="C32" s="11">
        <v>7031.2</v>
      </c>
      <c r="D32" s="12">
        <v>0.0463</v>
      </c>
      <c r="E32" s="11">
        <v>79080.58</v>
      </c>
      <c r="F32" s="15">
        <v>0.0772</v>
      </c>
      <c r="G32" s="11">
        <v>10.7</v>
      </c>
      <c r="H32" s="11">
        <v>8.57</v>
      </c>
    </row>
    <row r="33" spans="1:8">
      <c r="A33" s="10">
        <v>45595</v>
      </c>
      <c r="B33" s="11">
        <v>246.52</v>
      </c>
      <c r="C33" s="11">
        <v>7277.72</v>
      </c>
      <c r="D33" s="12">
        <v>0.0464</v>
      </c>
      <c r="E33" s="11">
        <v>79327.1</v>
      </c>
      <c r="F33" s="15">
        <v>0.0772</v>
      </c>
      <c r="G33" s="11">
        <v>10.7</v>
      </c>
      <c r="H33" s="11">
        <v>8.6</v>
      </c>
    </row>
    <row r="34" spans="1:8">
      <c r="A34" s="10">
        <v>45596</v>
      </c>
      <c r="B34" s="11">
        <v>245.16</v>
      </c>
      <c r="C34" s="11">
        <v>7522.88</v>
      </c>
      <c r="D34" s="12">
        <v>0.0463</v>
      </c>
      <c r="E34" s="11">
        <v>79572.26</v>
      </c>
      <c r="F34" s="15">
        <v>0.077</v>
      </c>
      <c r="G34" s="11">
        <v>10.6</v>
      </c>
      <c r="H34" s="11">
        <v>8.55</v>
      </c>
    </row>
    <row r="35" spans="1:8">
      <c r="A35" s="13" t="s">
        <v>11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zoomScale="160" zoomScaleNormal="160" topLeftCell="A10" workbookViewId="0">
      <selection activeCell="A33" sqref="$A26:$XFD27 $A33:$XFD33"/>
    </sheetView>
  </sheetViews>
  <sheetFormatPr defaultColWidth="9" defaultRowHeight="14.25" outlineLevelCol="7"/>
  <cols>
    <col min="1" max="1" width="11.5"/>
    <col min="2" max="2" width="10.5666666666667" customWidth="1"/>
    <col min="3" max="3" width="13.1666666666667" customWidth="1"/>
    <col min="4" max="4" width="7.30833333333333" customWidth="1"/>
    <col min="5" max="5" width="13.2666666666667" customWidth="1"/>
    <col min="6" max="6" width="8.35833333333333" customWidth="1"/>
    <col min="7" max="7" width="9.51666666666667" customWidth="1"/>
  </cols>
  <sheetData>
    <row r="1" ht="18.75" spans="1:8">
      <c r="A1" s="18" t="s">
        <v>24</v>
      </c>
      <c r="B1" s="18"/>
      <c r="C1" s="18"/>
      <c r="D1" s="18"/>
      <c r="E1" s="18"/>
      <c r="F1" s="18"/>
      <c r="G1" s="18"/>
      <c r="H1" s="18"/>
    </row>
    <row r="2" spans="1:8">
      <c r="A2" s="19" t="s">
        <v>1</v>
      </c>
      <c r="B2" s="19"/>
      <c r="C2" s="19"/>
      <c r="D2" s="19"/>
      <c r="E2" s="19"/>
      <c r="F2" s="19"/>
      <c r="G2" s="19"/>
      <c r="H2" s="19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2" customFormat="1" spans="1:8">
      <c r="A4" s="10">
        <v>45597</v>
      </c>
      <c r="B4" s="11">
        <f>IF(A4&lt;&gt;"",INDEX('[3]01-数据'!$C$2:$ND$2,MATCH(A4,'[3]01-数据'!$C$1:$ND$1))," ")</f>
        <v>242.37</v>
      </c>
      <c r="C4" s="11">
        <f>IF(A4&lt;&gt;"",INDEX('[3]01-数据'!$C$3:$ND$3,MATCH(A4,'[3]01-数据'!$C$1:$ND$1))," ")</f>
        <v>242.37</v>
      </c>
      <c r="D4" s="12">
        <f>IF(A4&lt;&gt;"",INDEX('[3]01-数据'!$C$4:$ND$4,MATCH(A4,'[3]01-数据'!$C$1:$ND$1))," ")</f>
        <v>0.0385</v>
      </c>
      <c r="E4" s="11">
        <f>IF(A4&lt;&gt;"",INDEX('[3]01-数据'!$C$6:$ND$6,MATCH(A4,'[3]01-数据'!$C$1:$ND$1))," ")</f>
        <v>79814.63</v>
      </c>
      <c r="F4" s="15">
        <f>IF(A4&lt;&gt;"",INDEX('[3]01-数据'!$C$7:$ND$7,MATCH(A4,'[3]01-数据'!$C$1:$ND$1))," ")</f>
        <v>0.0769</v>
      </c>
      <c r="G4" s="11">
        <f>IF(A4&lt;&gt;"",INDEX('[3]01-数据'!$C$11:$ND$11,MATCH(A4,'[3]01-数据'!$C$1:$ND$1))," ")</f>
        <v>10.49</v>
      </c>
      <c r="H4" s="11">
        <f>IF(A4&lt;&gt;"",INDEX('[3]01-数据'!$C$14:$ND$14,MATCH(A4,'[3]01-数据'!$C$1:$ND$1))," ")</f>
        <v>8.44</v>
      </c>
    </row>
    <row r="5" s="1" customFormat="1" spans="1:8">
      <c r="A5" s="20">
        <v>45598</v>
      </c>
      <c r="B5" s="8">
        <f>IF(A5&lt;&gt;"",INDEX('[3]01-数据'!$C$2:$ND$2,MATCH(A5,'[3]01-数据'!$C$1:$ND$1))," ")</f>
        <v>241.07</v>
      </c>
      <c r="C5" s="8">
        <f>IF(A5&lt;&gt;"",INDEX('[3]01-数据'!$C$3:$ND$3,MATCH(A5,'[3]01-数据'!$C$1:$ND$1))," ")</f>
        <v>483.44</v>
      </c>
      <c r="D5" s="9">
        <f>IF(A5&lt;&gt;"",INDEX('[3]01-数据'!$C$4:$ND$4,MATCH(A5,'[3]01-数据'!$C$1:$ND$1))," ")</f>
        <v>0.0278</v>
      </c>
      <c r="E5" s="8">
        <f>IF(A5&lt;&gt;"",INDEX('[3]01-数据'!$C$6:$ND$6,MATCH(A5,'[3]01-数据'!$C$1:$ND$1))," ")</f>
        <v>80055.7</v>
      </c>
      <c r="F5" s="14">
        <f>IF(A5&lt;&gt;"",INDEX('[3]01-数据'!$C$7:$ND$7,MATCH(A5,'[3]01-数据'!$C$1:$ND$1))," ")</f>
        <v>0.0767</v>
      </c>
      <c r="G5" s="8">
        <f>IF(A5&lt;&gt;"",INDEX('[3]01-数据'!$C$11:$ND$11,MATCH(A5,'[3]01-数据'!$C$1:$ND$1))," ")</f>
        <v>10.48</v>
      </c>
      <c r="H5" s="8">
        <f>IF(A5&lt;&gt;"",INDEX('[3]01-数据'!$C$14:$ND$14,MATCH(A5,'[3]01-数据'!$C$1:$ND$1))," ")</f>
        <v>8.43</v>
      </c>
    </row>
    <row r="6" s="1" customFormat="1" spans="1:8">
      <c r="A6" s="20">
        <v>45599</v>
      </c>
      <c r="B6" s="8">
        <f>IF(A6&lt;&gt;"",INDEX('[3]01-数据'!$C$2:$ND$2,MATCH(A6,'[3]01-数据'!$C$1:$ND$1))," ")</f>
        <v>237.74</v>
      </c>
      <c r="C6" s="8">
        <f>IF(A6&lt;&gt;"",INDEX('[3]01-数据'!$C$3:$ND$3,MATCH(A6,'[3]01-数据'!$C$1:$ND$1))," ")</f>
        <v>721.18</v>
      </c>
      <c r="D6" s="9">
        <f>IF(A6&lt;&gt;"",INDEX('[3]01-数据'!$C$4:$ND$4,MATCH(A6,'[3]01-数据'!$C$1:$ND$1))," ")</f>
        <v>0.0148</v>
      </c>
      <c r="E6" s="8">
        <f>IF(A6&lt;&gt;"",INDEX('[3]01-数据'!$C$6:$ND$6,MATCH(A6,'[3]01-数据'!$C$1:$ND$1))," ")</f>
        <v>80293.44</v>
      </c>
      <c r="F6" s="14">
        <f>IF(A6&lt;&gt;"",INDEX('[3]01-数据'!$C$7:$ND$7,MATCH(A6,'[3]01-数据'!$C$1:$ND$1))," ")</f>
        <v>0.0764</v>
      </c>
      <c r="G6" s="8">
        <f>IF(A6&lt;&gt;"",INDEX('[3]01-数据'!$C$11:$ND$11,MATCH(A6,'[3]01-数据'!$C$1:$ND$1))," ")</f>
        <v>10.37</v>
      </c>
      <c r="H6" s="8">
        <f>IF(A6&lt;&gt;"",INDEX('[3]01-数据'!$C$14:$ND$14,MATCH(A6,'[3]01-数据'!$C$1:$ND$1))," ")</f>
        <v>8.41</v>
      </c>
    </row>
    <row r="7" s="2" customFormat="1" spans="1:8">
      <c r="A7" s="21">
        <v>45600</v>
      </c>
      <c r="B7" s="11">
        <f>IF(A7&lt;&gt;"",INDEX('[3]01-数据'!$C$2:$ND$2,MATCH(A7,'[3]01-数据'!$C$1:$ND$1))," ")</f>
        <v>247.28</v>
      </c>
      <c r="C7" s="11">
        <f>IF(A7&lt;&gt;"",INDEX('[3]01-数据'!$C$3:$ND$3,MATCH(A7,'[3]01-数据'!$C$1:$ND$1))," ")</f>
        <v>968.46</v>
      </c>
      <c r="D7" s="12">
        <f>IF(A7&lt;&gt;"",INDEX('[3]01-数据'!$C$4:$ND$4,MATCH(A7,'[3]01-数据'!$C$1:$ND$1))," ")</f>
        <v>0.0204</v>
      </c>
      <c r="E7" s="11">
        <f>IF(A7&lt;&gt;"",INDEX('[3]01-数据'!$C$6:$ND$6,MATCH(A7,'[3]01-数据'!$C$1:$ND$1))," ")</f>
        <v>80540.72</v>
      </c>
      <c r="F7" s="15">
        <f>IF(A7&lt;&gt;"",INDEX('[3]01-数据'!$C$7:$ND$7,MATCH(A7,'[3]01-数据'!$C$1:$ND$1))," ")</f>
        <v>0.0763</v>
      </c>
      <c r="G7" s="22">
        <f>IF(A7&lt;&gt;"",INDEX('[3]01-数据'!$C$11:$ND$11,MATCH(A7,'[3]01-数据'!$C$1:$ND$1))," ")</f>
        <v>10.8</v>
      </c>
      <c r="H7" s="11">
        <f>IF(A7&lt;&gt;"",INDEX('[3]01-数据'!$C$14:$ND$14,MATCH(A7,'[3]01-数据'!$C$1:$ND$1))," ")</f>
        <v>8.38</v>
      </c>
    </row>
    <row r="8" s="2" customFormat="1" spans="1:8">
      <c r="A8" s="21">
        <v>45601</v>
      </c>
      <c r="B8" s="11">
        <f>IF(A8&lt;&gt;"",INDEX('[3]01-数据'!$C$2:$ND$2,MATCH(A8,'[3]01-数据'!$C$1:$ND$1))," ")</f>
        <v>249.77</v>
      </c>
      <c r="C8" s="11">
        <f>IF(A8&lt;&gt;"",INDEX('[3]01-数据'!$C$3:$ND$3,MATCH(A8,'[3]01-数据'!$C$1:$ND$1))," ")</f>
        <v>1218.23</v>
      </c>
      <c r="D8" s="12">
        <f>IF(A8&lt;&gt;"",INDEX('[3]01-数据'!$C$4:$ND$4,MATCH(A8,'[3]01-数据'!$C$1:$ND$1))," ")</f>
        <v>0.0302</v>
      </c>
      <c r="E8" s="11">
        <f>IF(A8&lt;&gt;"",INDEX('[3]01-数据'!$C$6:$ND$6,MATCH(A8,'[3]01-数据'!$C$1:$ND$1))," ")</f>
        <v>80790.5</v>
      </c>
      <c r="F8" s="15">
        <f>IF(A8&lt;&gt;"",INDEX('[3]01-数据'!$C$7:$ND$7,MATCH(A8,'[3]01-数据'!$C$1:$ND$1))," ")</f>
        <v>0.0763</v>
      </c>
      <c r="G8" s="22">
        <f>IF(A8&lt;&gt;"",INDEX('[3]01-数据'!$C$11:$ND$11,MATCH(A8,'[3]01-数据'!$C$1:$ND$1))," ")</f>
        <v>10.85</v>
      </c>
      <c r="H8" s="11">
        <f>IF(A8&lt;&gt;"",INDEX('[3]01-数据'!$C$14:$ND$14,MATCH(A8,'[3]01-数据'!$C$1:$ND$1))," ")</f>
        <v>8.65</v>
      </c>
    </row>
    <row r="9" s="2" customFormat="1" spans="1:8">
      <c r="A9" s="21">
        <v>45602</v>
      </c>
      <c r="B9" s="11">
        <f>IF(A9&lt;&gt;"",INDEX('[3]01-数据'!$C$2:$ND$2,MATCH(A9,'[3]01-数据'!$C$1:$ND$1))," ")</f>
        <v>249.98</v>
      </c>
      <c r="C9" s="11">
        <f>IF(A9&lt;&gt;"",INDEX('[3]01-数据'!$C$3:$ND$3,MATCH(A9,'[3]01-数据'!$C$1:$ND$1))," ")</f>
        <v>1468.21</v>
      </c>
      <c r="D9" s="12">
        <f>IF(A9&lt;&gt;"",INDEX('[3]01-数据'!$C$4:$ND$4,MATCH(A9,'[3]01-数据'!$C$1:$ND$1))," ")</f>
        <v>0.0324</v>
      </c>
      <c r="E9" s="11">
        <f>IF(A9&lt;&gt;"",INDEX('[3]01-数据'!$C$6:$ND$6,MATCH(A9,'[3]01-数据'!$C$1:$ND$1))," ")</f>
        <v>81040.47</v>
      </c>
      <c r="F9" s="15">
        <f>IF(A9&lt;&gt;"",INDEX('[3]01-数据'!$C$7:$ND$7,MATCH(A9,'[3]01-数据'!$C$1:$ND$1))," ")</f>
        <v>0.0762</v>
      </c>
      <c r="G9" s="22">
        <f>IF(A9&lt;&gt;"",INDEX('[3]01-数据'!$C$11:$ND$11,MATCH(A9,'[3]01-数据'!$C$1:$ND$1))," ")</f>
        <v>10.89</v>
      </c>
      <c r="H9" s="11">
        <f>IF(A9&lt;&gt;"",INDEX('[3]01-数据'!$C$14:$ND$14,MATCH(A9,'[3]01-数据'!$C$1:$ND$1))," ")</f>
        <v>8.71</v>
      </c>
    </row>
    <row r="10" s="2" customFormat="1" spans="1:8">
      <c r="A10" s="21">
        <v>45603</v>
      </c>
      <c r="B10" s="11">
        <f>IF(A10&lt;&gt;"",INDEX('[3]01-数据'!$C$2:$ND$2,MATCH(A10,'[3]01-数据'!$C$1:$ND$1))," ")</f>
        <v>250.05</v>
      </c>
      <c r="C10" s="11">
        <f>IF(A10&lt;&gt;"",INDEX('[3]01-数据'!$C$3:$ND$3,MATCH(A10,'[3]01-数据'!$C$1:$ND$1))," ")</f>
        <v>1718.26</v>
      </c>
      <c r="D10" s="12">
        <f>IF(A10&lt;&gt;"",INDEX('[3]01-数据'!$C$4:$ND$4,MATCH(A10,'[3]01-数据'!$C$1:$ND$1))," ")</f>
        <v>0.0331</v>
      </c>
      <c r="E10" s="11">
        <f>IF(A10&lt;&gt;"",INDEX('[3]01-数据'!$C$6:$ND$6,MATCH(A10,'[3]01-数据'!$C$1:$ND$1))," ")</f>
        <v>81290.52</v>
      </c>
      <c r="F10" s="15">
        <f>IF(A10&lt;&gt;"",INDEX('[3]01-数据'!$C$7:$ND$7,MATCH(A10,'[3]01-数据'!$C$1:$ND$1))," ")</f>
        <v>0.0761</v>
      </c>
      <c r="G10" s="22">
        <f>IF(A10&lt;&gt;"",INDEX('[3]01-数据'!$C$11:$ND$11,MATCH(A10,'[3]01-数据'!$C$1:$ND$1))," ")</f>
        <v>10.88</v>
      </c>
      <c r="H10" s="22">
        <f>IF(A10&lt;&gt;"",INDEX('[3]01-数据'!$C$14:$ND$14,MATCH(A10,'[3]01-数据'!$C$1:$ND$1))," ")</f>
        <v>8.7</v>
      </c>
    </row>
    <row r="11" s="2" customFormat="1" spans="1:8">
      <c r="A11" s="21">
        <v>45604</v>
      </c>
      <c r="B11" s="11">
        <f>IF(A11&lt;&gt;"",INDEX('[3]01-数据'!$C$2:$ND$2,MATCH(A11,'[3]01-数据'!$C$1:$ND$1))," ")</f>
        <v>249.77</v>
      </c>
      <c r="C11" s="11">
        <f>IF(A11&lt;&gt;"",INDEX('[3]01-数据'!$C$3:$ND$3,MATCH(A11,'[3]01-数据'!$C$1:$ND$1))," ")</f>
        <v>1968.03</v>
      </c>
      <c r="D11" s="12">
        <f>IF(A11&lt;&gt;"",INDEX('[3]01-数据'!$C$4:$ND$4,MATCH(A11,'[3]01-数据'!$C$1:$ND$1))," ")</f>
        <v>0.0328</v>
      </c>
      <c r="E11" s="11">
        <f>IF(A11&lt;&gt;"",INDEX('[3]01-数据'!$C$6:$ND$6,MATCH(A11,'[3]01-数据'!$C$1:$ND$1))," ")</f>
        <v>81540.29</v>
      </c>
      <c r="F11" s="15">
        <f>IF(A11&lt;&gt;"",INDEX('[3]01-数据'!$C$7:$ND$7,MATCH(A11,'[3]01-数据'!$C$1:$ND$1))," ")</f>
        <v>0.0759</v>
      </c>
      <c r="G11" s="22">
        <f>IF(A11&lt;&gt;"",INDEX('[3]01-数据'!$C$11:$ND$11,MATCH(A11,'[3]01-数据'!$C$1:$ND$1))," ")</f>
        <v>10.86</v>
      </c>
      <c r="H11" s="22">
        <f>IF(A11&lt;&gt;"",INDEX('[3]01-数据'!$C$14:$ND$14,MATCH(A11,'[3]01-数据'!$C$1:$ND$1))," ")</f>
        <v>8.69</v>
      </c>
    </row>
    <row r="12" s="1" customFormat="1" spans="1:8">
      <c r="A12" s="20">
        <v>45605</v>
      </c>
      <c r="B12" s="8">
        <f>IF(A12&lt;&gt;"",INDEX('[3]01-数据'!$C$2:$ND$2,MATCH(A12,'[3]01-数据'!$C$1:$ND$1))," ")</f>
        <v>248.41</v>
      </c>
      <c r="C12" s="8">
        <f>IF(A12&lt;&gt;"",INDEX('[3]01-数据'!$C$3:$ND$3,MATCH(A12,'[3]01-数据'!$C$1:$ND$1))," ")</f>
        <v>2216.44</v>
      </c>
      <c r="D12" s="9">
        <f>IF(A12&lt;&gt;"",INDEX('[3]01-数据'!$C$4:$ND$4,MATCH(A12,'[3]01-数据'!$C$1:$ND$1))," ")</f>
        <v>0.0306</v>
      </c>
      <c r="E12" s="8">
        <f>IF(A12&lt;&gt;"",INDEX('[3]01-数据'!$C$6:$ND$6,MATCH(A12,'[3]01-数据'!$C$1:$ND$1))," ")</f>
        <v>81788.71</v>
      </c>
      <c r="F12" s="14">
        <f>IF(A12&lt;&gt;"",INDEX('[3]01-数据'!$C$7:$ND$7,MATCH(A12,'[3]01-数据'!$C$1:$ND$1))," ")</f>
        <v>0.0757</v>
      </c>
      <c r="G12" s="23">
        <f>IF(A12&lt;&gt;"",INDEX('[3]01-数据'!$C$11:$ND$11,MATCH(A12,'[3]01-数据'!$C$1:$ND$1))," ")</f>
        <v>10.75</v>
      </c>
      <c r="H12" s="23">
        <f>IF(A12&lt;&gt;"",INDEX('[3]01-数据'!$C$14:$ND$14,MATCH(A12,'[3]01-数据'!$C$1:$ND$1))," ")</f>
        <v>8.68</v>
      </c>
    </row>
    <row r="13" s="1" customFormat="1" spans="1:8">
      <c r="A13" s="20">
        <v>45606</v>
      </c>
      <c r="B13" s="8">
        <f>IF(A13&lt;&gt;"",INDEX('[3]01-数据'!$C$2:$ND$2,MATCH(A13,'[3]01-数据'!$C$1:$ND$1))," ")</f>
        <v>242.08</v>
      </c>
      <c r="C13" s="8">
        <f>IF(A13&lt;&gt;"",INDEX('[3]01-数据'!$C$3:$ND$3,MATCH(A13,'[3]01-数据'!$C$1:$ND$1))," ")</f>
        <v>2458.53</v>
      </c>
      <c r="D13" s="9">
        <f>IF(A13&lt;&gt;"",INDEX('[3]01-数据'!$C$4:$ND$4,MATCH(A13,'[3]01-数据'!$C$1:$ND$1))," ")</f>
        <v>0.0245</v>
      </c>
      <c r="E13" s="8">
        <f>IF(A13&lt;&gt;"",INDEX('[3]01-数据'!$C$6:$ND$6,MATCH(A13,'[3]01-数据'!$C$1:$ND$1))," ")</f>
        <v>82030.79</v>
      </c>
      <c r="F13" s="14">
        <f>IF(A13&lt;&gt;"",INDEX('[3]01-数据'!$C$7:$ND$7,MATCH(A13,'[3]01-数据'!$C$1:$ND$1))," ")</f>
        <v>0.0754</v>
      </c>
      <c r="G13" s="23">
        <f>IF(A13&lt;&gt;"",INDEX('[3]01-数据'!$C$11:$ND$11,MATCH(A13,'[3]01-数据'!$C$1:$ND$1))," ")</f>
        <v>10.46</v>
      </c>
      <c r="H13" s="23">
        <f>IF(A13&lt;&gt;"",INDEX('[3]01-数据'!$C$14:$ND$14,MATCH(A13,'[3]01-数据'!$C$1:$ND$1))," ")</f>
        <v>8.59</v>
      </c>
    </row>
    <row r="14" s="2" customFormat="1" spans="1:8">
      <c r="A14" s="21">
        <v>45607</v>
      </c>
      <c r="B14" s="11">
        <f>IF(A14&lt;&gt;"",INDEX('[3]01-数据'!$C$2:$ND$2,MATCH(A14,'[3]01-数据'!$C$1:$ND$1))," ")</f>
        <v>249.1</v>
      </c>
      <c r="C14" s="11">
        <f>IF(A14&lt;&gt;"",INDEX('[3]01-数据'!$C$3:$ND$3,MATCH(A14,'[3]01-数据'!$C$1:$ND$1))," ")</f>
        <v>2707.63</v>
      </c>
      <c r="D14" s="12">
        <f>IF(A14&lt;&gt;"",INDEX('[3]01-数据'!$C$4:$ND$4,MATCH(A14,'[3]01-数据'!$C$1:$ND$1))," ")</f>
        <v>0.0221</v>
      </c>
      <c r="E14" s="11">
        <f>IF(A14&lt;&gt;"",INDEX('[3]01-数据'!$C$6:$ND$6,MATCH(A14,'[3]01-数据'!$C$1:$ND$1))," ")</f>
        <v>82279.89</v>
      </c>
      <c r="F14" s="15">
        <f>IF(A14&lt;&gt;"",INDEX('[3]01-数据'!$C$7:$ND$7,MATCH(A14,'[3]01-数据'!$C$1:$ND$1))," ")</f>
        <v>0.0751</v>
      </c>
      <c r="G14" s="22">
        <f>IF(A14&lt;&gt;"",INDEX('[3]01-数据'!$C$11:$ND$11,MATCH(A14,'[3]01-数据'!$C$1:$ND$1))," ")</f>
        <v>10.88</v>
      </c>
      <c r="H14" s="22">
        <f>IF(A14&lt;&gt;"",INDEX('[3]01-数据'!$C$14:$ND$14,MATCH(A14,'[3]01-数据'!$C$1:$ND$1))," ")</f>
        <v>8.45</v>
      </c>
    </row>
    <row r="15" s="2" customFormat="1" spans="1:8">
      <c r="A15" s="21">
        <v>45608</v>
      </c>
      <c r="B15" s="11">
        <f>IF(A15&lt;&gt;"",INDEX('[3]01-数据'!$C$2:$ND$2,MATCH(A15,'[3]01-数据'!$C$1:$ND$1))," ")</f>
        <v>251.72</v>
      </c>
      <c r="C15" s="11">
        <f>IF(A15&lt;&gt;"",INDEX('[3]01-数据'!$C$3:$ND$3,MATCH(A15,'[3]01-数据'!$C$1:$ND$1))," ")</f>
        <v>2959.35</v>
      </c>
      <c r="D15" s="12">
        <f>IF(A15&lt;&gt;"",INDEX('[3]01-数据'!$C$4:$ND$4,MATCH(A15,'[3]01-数据'!$C$1:$ND$1))," ")</f>
        <v>0.023</v>
      </c>
      <c r="E15" s="11">
        <f>IF(A15&lt;&gt;"",INDEX('[3]01-数据'!$C$6:$ND$6,MATCH(A15,'[3]01-数据'!$C$1:$ND$1))," ")</f>
        <v>82531.61</v>
      </c>
      <c r="F15" s="15">
        <f>IF(A15&lt;&gt;"",INDEX('[3]01-数据'!$C$7:$ND$7,MATCH(A15,'[3]01-数据'!$C$1:$ND$1))," ")</f>
        <v>0.075</v>
      </c>
      <c r="G15" s="22">
        <f>IF(A15&lt;&gt;"",INDEX('[3]01-数据'!$C$11:$ND$11,MATCH(A15,'[3]01-数据'!$C$1:$ND$1))," ")</f>
        <v>10.95</v>
      </c>
      <c r="H15" s="22">
        <f>IF(A15&lt;&gt;"",INDEX('[3]01-数据'!$C$14:$ND$14,MATCH(A15,'[3]01-数据'!$C$1:$ND$1))," ")</f>
        <v>8.71</v>
      </c>
    </row>
    <row r="16" s="2" customFormat="1" spans="1:8">
      <c r="A16" s="21">
        <v>45609</v>
      </c>
      <c r="B16" s="11">
        <f>IF(A16&lt;&gt;"",INDEX('[3]01-数据'!$C$2:$ND$2,MATCH(A16,'[3]01-数据'!$C$1:$ND$1))," ")</f>
        <v>253.12</v>
      </c>
      <c r="C16" s="11">
        <f>IF(A16&lt;&gt;"",INDEX('[3]01-数据'!$C$3:$ND$3,MATCH(A16,'[3]01-数据'!$C$1:$ND$1))," ")</f>
        <v>3212.47</v>
      </c>
      <c r="D16" s="12">
        <f>IF(A16&lt;&gt;"",INDEX('[3]01-数据'!$C$4:$ND$4,MATCH(A16,'[3]01-数据'!$C$1:$ND$1))," ")</f>
        <v>0.022</v>
      </c>
      <c r="E16" s="11">
        <f>IF(A16&lt;&gt;"",INDEX('[3]01-数据'!$C$6:$ND$6,MATCH(A16,'[3]01-数据'!$C$1:$ND$1))," ")</f>
        <v>82784.73</v>
      </c>
      <c r="F16" s="15">
        <f>IF(A16&lt;&gt;"",INDEX('[3]01-数据'!$C$7:$ND$7,MATCH(A16,'[3]01-数据'!$C$1:$ND$1))," ")</f>
        <v>0.0748</v>
      </c>
      <c r="G16" s="22">
        <f>IF(A16&lt;&gt;"",INDEX('[3]01-数据'!$C$11:$ND$11,MATCH(A16,'[3]01-数据'!$C$1:$ND$1))," ")</f>
        <v>11.02</v>
      </c>
      <c r="H16" s="22">
        <f>IF(A16&lt;&gt;"",INDEX('[3]01-数据'!$C$14:$ND$14,MATCH(A16,'[3]01-数据'!$C$1:$ND$1))," ")</f>
        <v>8.76</v>
      </c>
    </row>
    <row r="17" s="2" customFormat="1" spans="1:8">
      <c r="A17" s="21">
        <v>45610</v>
      </c>
      <c r="B17" s="11">
        <f>IF(A17&lt;&gt;"",INDEX('[3]01-数据'!$C$2:$ND$2,MATCH(A17,'[3]01-数据'!$C$1:$ND$1))," ")</f>
        <v>254.04</v>
      </c>
      <c r="C17" s="11">
        <f>IF(A17&lt;&gt;"",INDEX('[3]01-数据'!$C$3:$ND$3,MATCH(A17,'[3]01-数据'!$C$1:$ND$1))," ")</f>
        <v>3466.51</v>
      </c>
      <c r="D17" s="12">
        <f>IF(A17&lt;&gt;"",INDEX('[3]01-数据'!$C$4:$ND$4,MATCH(A17,'[3]01-数据'!$C$1:$ND$1))," ")</f>
        <v>0.021</v>
      </c>
      <c r="E17" s="11">
        <f>IF(A17&lt;&gt;"",INDEX('[3]01-数据'!$C$6:$ND$6,MATCH(A17,'[3]01-数据'!$C$1:$ND$1))," ")</f>
        <v>83038.77</v>
      </c>
      <c r="F17" s="15">
        <f>IF(A17&lt;&gt;"",INDEX('[3]01-数据'!$C$7:$ND$7,MATCH(A17,'[3]01-数据'!$C$1:$ND$1))," ")</f>
        <v>0.0746</v>
      </c>
      <c r="G17" s="22">
        <f>IF(A17&lt;&gt;"",INDEX('[3]01-数据'!$C$11:$ND$11,MATCH(A17,'[3]01-数据'!$C$1:$ND$1))," ")</f>
        <v>11.08</v>
      </c>
      <c r="H17" s="22">
        <f>IF(A17&lt;&gt;"",INDEX('[3]01-数据'!$C$14:$ND$14,MATCH(A17,'[3]01-数据'!$C$1:$ND$1))," ")</f>
        <v>8.78</v>
      </c>
    </row>
    <row r="18" s="2" customFormat="1" spans="1:8">
      <c r="A18" s="21">
        <v>45611</v>
      </c>
      <c r="B18" s="11">
        <f>IF(A18&lt;&gt;"",INDEX('[3]01-数据'!$C$2:$ND$2,MATCH(A18,'[3]01-数据'!$C$1:$ND$1))," ")</f>
        <v>255.98</v>
      </c>
      <c r="C18" s="11">
        <f>IF(A18&lt;&gt;"",INDEX('[3]01-数据'!$C$3:$ND$3,MATCH(A18,'[3]01-数据'!$C$1:$ND$1))," ")</f>
        <v>3722.5</v>
      </c>
      <c r="D18" s="12">
        <f>IF(A18&lt;&gt;"",INDEX('[3]01-数据'!$C$4:$ND$4,MATCH(A18,'[3]01-数据'!$C$1:$ND$1))," ")</f>
        <v>0.0205</v>
      </c>
      <c r="E18" s="11">
        <f>IF(A18&lt;&gt;"",INDEX('[3]01-数据'!$C$6:$ND$6,MATCH(A18,'[3]01-数据'!$C$1:$ND$1))," ")</f>
        <v>83294.76</v>
      </c>
      <c r="F18" s="15">
        <f>IF(A18&lt;&gt;"",INDEX('[3]01-数据'!$C$7:$ND$7,MATCH(A18,'[3]01-数据'!$C$1:$ND$1))," ")</f>
        <v>0.0744</v>
      </c>
      <c r="G18" s="22">
        <f>IF(A18&lt;&gt;"",INDEX('[3]01-数据'!$C$11:$ND$11,MATCH(A18,'[3]01-数据'!$C$1:$ND$1))," ")</f>
        <v>11.28</v>
      </c>
      <c r="H18" s="22">
        <f>IF(A18&lt;&gt;"",INDEX('[3]01-数据'!$C$14:$ND$14,MATCH(A18,'[3]01-数据'!$C$1:$ND$1))," ")</f>
        <v>8.86</v>
      </c>
    </row>
    <row r="19" s="1" customFormat="1" spans="1:8">
      <c r="A19" s="20">
        <v>45612</v>
      </c>
      <c r="B19" s="8">
        <f>IF(A19&lt;&gt;"",INDEX('[3]01-数据'!$C$2:$ND$2,MATCH(A19,'[3]01-数据'!$C$1:$ND$1))," ")</f>
        <v>252.72</v>
      </c>
      <c r="C19" s="8">
        <f>IF(A19&lt;&gt;"",INDEX('[3]01-数据'!$C$3:$ND$3,MATCH(A19,'[3]01-数据'!$C$1:$ND$1))," ")</f>
        <v>3975.21</v>
      </c>
      <c r="D19" s="9">
        <f>IF(A19&lt;&gt;"",INDEX('[3]01-数据'!$C$4:$ND$4,MATCH(A19,'[3]01-数据'!$C$1:$ND$1))," ")</f>
        <v>0.0194</v>
      </c>
      <c r="E19" s="8">
        <f>IF(A19&lt;&gt;"",INDEX('[3]01-数据'!$C$6:$ND$6,MATCH(A19,'[3]01-数据'!$C$1:$ND$1))," ")</f>
        <v>83547.47</v>
      </c>
      <c r="F19" s="14">
        <f>IF(A19&lt;&gt;"",INDEX('[3]01-数据'!$C$7:$ND$7,MATCH(A19,'[3]01-数据'!$C$1:$ND$1))," ")</f>
        <v>0.0742</v>
      </c>
      <c r="G19" s="23">
        <f>IF(A19&lt;&gt;"",INDEX('[3]01-数据'!$C$11:$ND$11,MATCH(A19,'[3]01-数据'!$C$1:$ND$1))," ")</f>
        <v>11.1</v>
      </c>
      <c r="H19" s="23">
        <f>IF(A19&lt;&gt;"",INDEX('[3]01-数据'!$C$14:$ND$14,MATCH(A19,'[3]01-数据'!$C$1:$ND$1))," ")</f>
        <v>8.88</v>
      </c>
    </row>
    <row r="20" s="1" customFormat="1" spans="1:8">
      <c r="A20" s="20">
        <v>45613</v>
      </c>
      <c r="B20" s="8">
        <f>IF(A20&lt;&gt;"",INDEX('[3]01-数据'!$C$2:$ND$2,MATCH(A20,'[3]01-数据'!$C$1:$ND$1))," ")</f>
        <v>247.91</v>
      </c>
      <c r="C20" s="8">
        <f>IF(A20&lt;&gt;"",INDEX('[3]01-数据'!$C$3:$ND$3,MATCH(A20,'[3]01-数据'!$C$1:$ND$1))," ")</f>
        <v>4223.12</v>
      </c>
      <c r="D20" s="9">
        <f>IF(A20&lt;&gt;"",INDEX('[3]01-数据'!$C$4:$ND$4,MATCH(A20,'[3]01-数据'!$C$1:$ND$1))," ")</f>
        <v>0.0172</v>
      </c>
      <c r="E20" s="8">
        <f>IF(A20&lt;&gt;"",INDEX('[3]01-数据'!$C$6:$ND$6,MATCH(A20,'[3]01-数据'!$C$1:$ND$1))," ")</f>
        <v>83795.38</v>
      </c>
      <c r="F20" s="14">
        <f>IF(A20&lt;&gt;"",INDEX('[3]01-数据'!$C$7:$ND$7,MATCH(A20,'[3]01-数据'!$C$1:$ND$1))," ")</f>
        <v>0.0739</v>
      </c>
      <c r="G20" s="23">
        <f>IF(A20&lt;&gt;"",INDEX('[3]01-数据'!$C$11:$ND$11,MATCH(A20,'[3]01-数据'!$C$1:$ND$1))," ")</f>
        <v>10.78</v>
      </c>
      <c r="H20" s="23">
        <f>IF(A20&lt;&gt;"",INDEX('[3]01-数据'!$C$14:$ND$14,MATCH(A20,'[3]01-数据'!$C$1:$ND$1))," ")</f>
        <v>8.81</v>
      </c>
    </row>
    <row r="21" s="2" customFormat="1" spans="1:8">
      <c r="A21" s="21">
        <v>45614</v>
      </c>
      <c r="B21" s="11">
        <f>IF(A21&lt;&gt;"",INDEX('[3]01-数据'!$C$2:$ND$2,MATCH(A21,'[3]01-数据'!$C$1:$ND$1))," ")</f>
        <v>255.89</v>
      </c>
      <c r="C21" s="11">
        <f>IF(A21&lt;&gt;"",INDEX('[3]01-数据'!$C$3:$ND$3,MATCH(A21,'[3]01-数据'!$C$1:$ND$1))," ")</f>
        <v>4479.02</v>
      </c>
      <c r="D21" s="12">
        <f>IF(A21&lt;&gt;"",INDEX('[3]01-数据'!$C$4:$ND$4,MATCH(A21,'[3]01-数据'!$C$1:$ND$1))," ")</f>
        <v>0.0177</v>
      </c>
      <c r="E21" s="11">
        <f>IF(A21&lt;&gt;"",INDEX('[3]01-数据'!$C$6:$ND$6,MATCH(A21,'[3]01-数据'!$C$1:$ND$1))," ")</f>
        <v>84051.28</v>
      </c>
      <c r="F21" s="15">
        <f>IF(A21&lt;&gt;"",INDEX('[3]01-数据'!$C$7:$ND$7,MATCH(A21,'[3]01-数据'!$C$1:$ND$1))," ")</f>
        <v>0.0737</v>
      </c>
      <c r="G21" s="22">
        <f>IF(A21&lt;&gt;"",INDEX('[3]01-数据'!$C$11:$ND$11,MATCH(A21,'[3]01-数据'!$C$1:$ND$1))," ")</f>
        <v>11.35</v>
      </c>
      <c r="H21" s="22">
        <f>IF(A21&lt;&gt;"",INDEX('[3]01-数据'!$C$14:$ND$14,MATCH(A21,'[3]01-数据'!$C$1:$ND$1))," ")</f>
        <v>8.69</v>
      </c>
    </row>
    <row r="22" s="2" customFormat="1" spans="1:8">
      <c r="A22" s="21">
        <v>45615</v>
      </c>
      <c r="B22" s="11">
        <f>IF(A22&lt;&gt;"",INDEX('[3]01-数据'!$C$2:$ND$2,MATCH(A22,'[3]01-数据'!$C$1:$ND$1))," ")</f>
        <v>258.51</v>
      </c>
      <c r="C22" s="11">
        <f>IF(A22&lt;&gt;"",INDEX('[3]01-数据'!$C$3:$ND$3,MATCH(A22,'[3]01-数据'!$C$1:$ND$1))," ")</f>
        <v>4737.53</v>
      </c>
      <c r="D22" s="12">
        <f>IF(A22&lt;&gt;"",INDEX('[3]01-数据'!$C$4:$ND$4,MATCH(A22,'[3]01-数据'!$C$1:$ND$1))," ")</f>
        <v>0.0205</v>
      </c>
      <c r="E22" s="11">
        <f>IF(A22&lt;&gt;"",INDEX('[3]01-数据'!$C$6:$ND$6,MATCH(A22,'[3]01-数据'!$C$1:$ND$1))," ")</f>
        <v>84309.79</v>
      </c>
      <c r="F22" s="15">
        <f>IF(A22&lt;&gt;"",INDEX('[3]01-数据'!$C$7:$ND$7,MATCH(A22,'[3]01-数据'!$C$1:$ND$1))," ")</f>
        <v>0.0737</v>
      </c>
      <c r="G22" s="22">
        <f>IF(A22&lt;&gt;"",INDEX('[3]01-数据'!$C$11:$ND$11,MATCH(A22,'[3]01-数据'!$C$1:$ND$1))," ")</f>
        <v>11.38</v>
      </c>
      <c r="H22" s="22">
        <f>IF(A22&lt;&gt;"",INDEX('[3]01-数据'!$C$14:$ND$14,MATCH(A22,'[3]01-数据'!$C$1:$ND$1))," ")</f>
        <v>8.93</v>
      </c>
    </row>
    <row r="23" s="2" customFormat="1" spans="1:8">
      <c r="A23" s="21">
        <v>45616</v>
      </c>
      <c r="B23" s="11">
        <f>IF(A23&lt;&gt;"",INDEX('[3]01-数据'!$C$2:$ND$2,MATCH(A23,'[3]01-数据'!$C$1:$ND$1))," ")</f>
        <v>258.34</v>
      </c>
      <c r="C23" s="11">
        <f>IF(A23&lt;&gt;"",INDEX('[3]01-数据'!$C$3:$ND$3,MATCH(A23,'[3]01-数据'!$C$1:$ND$1))," ")</f>
        <v>4995.87</v>
      </c>
      <c r="D23" s="12">
        <f>IF(A23&lt;&gt;"",INDEX('[3]01-数据'!$C$4:$ND$4,MATCH(A23,'[3]01-数据'!$C$1:$ND$1))," ")</f>
        <v>0.022</v>
      </c>
      <c r="E23" s="11">
        <f>IF(A23&lt;&gt;"",INDEX('[3]01-数据'!$C$6:$ND$6,MATCH(A23,'[3]01-数据'!$C$1:$ND$1))," ")</f>
        <v>84568.13</v>
      </c>
      <c r="F23" s="15">
        <f>IF(A23&lt;&gt;"",INDEX('[3]01-数据'!$C$7:$ND$7,MATCH(A23,'[3]01-数据'!$C$1:$ND$1))," ")</f>
        <v>0.0736</v>
      </c>
      <c r="G23" s="22">
        <f>IF(A23&lt;&gt;"",INDEX('[3]01-数据'!$C$11:$ND$11,MATCH(A23,'[3]01-数据'!$C$1:$ND$1))," ")</f>
        <v>11.36</v>
      </c>
      <c r="H23" s="22">
        <f>IF(A23&lt;&gt;"",INDEX('[3]01-数据'!$C$14:$ND$14,MATCH(A23,'[3]01-数据'!$C$1:$ND$1))," ")</f>
        <v>8.95</v>
      </c>
    </row>
    <row r="24" s="2" customFormat="1" spans="1:8">
      <c r="A24" s="21">
        <v>45617</v>
      </c>
      <c r="B24" s="11">
        <f>IF(A24&lt;&gt;"",INDEX('[3]01-数据'!$C$2:$ND$2,MATCH(A24,'[3]01-数据'!$C$1:$ND$1))," ")</f>
        <v>257.9</v>
      </c>
      <c r="C24" s="11">
        <f>IF(A24&lt;&gt;"",INDEX('[3]01-数据'!$C$3:$ND$3,MATCH(A24,'[3]01-数据'!$C$1:$ND$1))," ")</f>
        <v>5253.77</v>
      </c>
      <c r="D24" s="12">
        <f>IF(A24&lt;&gt;"",INDEX('[3]01-数据'!$C$4:$ND$4,MATCH(A24,'[3]01-数据'!$C$1:$ND$1))," ")</f>
        <v>0.0232</v>
      </c>
      <c r="E24" s="11">
        <f>IF(A24&lt;&gt;"",INDEX('[3]01-数据'!$C$6:$ND$6,MATCH(A24,'[3]01-数据'!$C$1:$ND$1))," ")</f>
        <v>84826.03</v>
      </c>
      <c r="F24" s="15">
        <f>IF(A24&lt;&gt;"",INDEX('[3]01-数据'!$C$7:$ND$7,MATCH(A24,'[3]01-数据'!$C$1:$ND$1))," ")</f>
        <v>0.0735</v>
      </c>
      <c r="G24" s="22">
        <f>IF(A24&lt;&gt;"",INDEX('[3]01-数据'!$C$11:$ND$11,MATCH(A24,'[3]01-数据'!$C$1:$ND$1))," ")</f>
        <v>11.31</v>
      </c>
      <c r="H24" s="22">
        <f>IF(A24&lt;&gt;"",INDEX('[3]01-数据'!$C$14:$ND$14,MATCH(A24,'[3]01-数据'!$C$1:$ND$1))," ")</f>
        <v>8.92</v>
      </c>
    </row>
    <row r="25" s="2" customFormat="1" spans="1:8">
      <c r="A25" s="21">
        <v>45618</v>
      </c>
      <c r="B25" s="11">
        <f>IF(A25&lt;&gt;"",INDEX('[3]01-数据'!$C$2:$ND$2,MATCH(A25,'[3]01-数据'!$C$1:$ND$1))," ")</f>
        <v>258.24</v>
      </c>
      <c r="C25" s="11">
        <f>IF(A25&lt;&gt;"",INDEX('[3]01-数据'!$C$3:$ND$3,MATCH(A25,'[3]01-数据'!$C$1:$ND$1))," ")</f>
        <v>5512.01</v>
      </c>
      <c r="D25" s="12">
        <f>IF(A25&lt;&gt;"",INDEX('[3]01-数据'!$C$4:$ND$4,MATCH(A25,'[3]01-数据'!$C$1:$ND$1))," ")</f>
        <v>0.0244</v>
      </c>
      <c r="E25" s="11">
        <f>IF(A25&lt;&gt;"",INDEX('[3]01-数据'!$C$6:$ND$6,MATCH(A25,'[3]01-数据'!$C$1:$ND$1))," ")</f>
        <v>85084.27</v>
      </c>
      <c r="F25" s="15">
        <f>IF(A25&lt;&gt;"",INDEX('[3]01-数据'!$C$7:$ND$7,MATCH(A25,'[3]01-数据'!$C$1:$ND$1))," ")</f>
        <v>0.0735</v>
      </c>
      <c r="G25" s="22">
        <f>IF(A25&lt;&gt;"",INDEX('[3]01-数据'!$C$11:$ND$11,MATCH(A25,'[3]01-数据'!$C$1:$ND$1))," ")</f>
        <v>11.32</v>
      </c>
      <c r="H25" s="22">
        <f>IF(A25&lt;&gt;"",INDEX('[3]01-数据'!$C$14:$ND$14,MATCH(A25,'[3]01-数据'!$C$1:$ND$1))," ")</f>
        <v>8.94</v>
      </c>
    </row>
    <row r="26" s="1" customFormat="1" spans="1:8">
      <c r="A26" s="20">
        <v>45619</v>
      </c>
      <c r="B26" s="8">
        <f>IF(A26&lt;&gt;"",INDEX('[3]01-数据'!$C$2:$ND$2,MATCH(A26,'[3]01-数据'!$C$1:$ND$1))," ")</f>
        <v>256.03</v>
      </c>
      <c r="C26" s="8">
        <f>IF(A26&lt;&gt;"",INDEX('[3]01-数据'!$C$3:$ND$3,MATCH(A26,'[3]01-数据'!$C$1:$ND$1))," ")</f>
        <v>5768.04</v>
      </c>
      <c r="D26" s="9">
        <f>IF(A26&lt;&gt;"",INDEX('[3]01-数据'!$C$4:$ND$4,MATCH(A26,'[3]01-数据'!$C$1:$ND$1))," ")</f>
        <v>0.0242</v>
      </c>
      <c r="E26" s="8">
        <f>IF(A26&lt;&gt;"",INDEX('[3]01-数据'!$C$6:$ND$6,MATCH(A26,'[3]01-数据'!$C$1:$ND$1))," ")</f>
        <v>85340.31</v>
      </c>
      <c r="F26" s="14">
        <f>IF(A26&lt;&gt;"",INDEX('[3]01-数据'!$C$7:$ND$7,MATCH(A26,'[3]01-数据'!$C$1:$ND$1))," ")</f>
        <v>0.0733</v>
      </c>
      <c r="G26" s="23">
        <f>IF(A26&lt;&gt;"",INDEX('[3]01-数据'!$C$11:$ND$11,MATCH(A26,'[3]01-数据'!$C$1:$ND$1))," ")</f>
        <v>11.19</v>
      </c>
      <c r="H26" s="23">
        <f>IF(A26&lt;&gt;"",INDEX('[3]01-数据'!$C$14:$ND$14,MATCH(A26,'[3]01-数据'!$C$1:$ND$1))," ")</f>
        <v>8.93</v>
      </c>
    </row>
    <row r="27" s="1" customFormat="1" spans="1:8">
      <c r="A27" s="20">
        <v>45620</v>
      </c>
      <c r="B27" s="8">
        <f>IF(A27&lt;&gt;"",INDEX('[3]01-数据'!$C$2:$ND$2,MATCH(A27,'[3]01-数据'!$C$1:$ND$1))," ")</f>
        <v>252.24</v>
      </c>
      <c r="C27" s="8">
        <f>IF(A27&lt;&gt;"",INDEX('[3]01-数据'!$C$3:$ND$3,MATCH(A27,'[3]01-数据'!$C$1:$ND$1))," ")</f>
        <v>6020.28</v>
      </c>
      <c r="D27" s="9">
        <f>IF(A27&lt;&gt;"",INDEX('[3]01-数据'!$C$4:$ND$4,MATCH(A27,'[3]01-数据'!$C$1:$ND$1))," ")</f>
        <v>0.0227</v>
      </c>
      <c r="E27" s="8">
        <f>IF(A27&lt;&gt;"",INDEX('[3]01-数据'!$C$6:$ND$6,MATCH(A27,'[3]01-数据'!$C$1:$ND$1))," ")</f>
        <v>85592.54</v>
      </c>
      <c r="F27" s="14">
        <f>IF(A27&lt;&gt;"",INDEX('[3]01-数据'!$C$7:$ND$7,MATCH(A27,'[3]01-数据'!$C$1:$ND$1))," ")</f>
        <v>0.073</v>
      </c>
      <c r="G27" s="23">
        <f>IF(A27&lt;&gt;"",INDEX('[3]01-数据'!$C$11:$ND$11,MATCH(A27,'[3]01-数据'!$C$1:$ND$1))," ")</f>
        <v>11.05</v>
      </c>
      <c r="H27" s="23">
        <f>IF(A27&lt;&gt;"",INDEX('[3]01-数据'!$C$14:$ND$14,MATCH(A27,'[3]01-数据'!$C$1:$ND$1))," ")</f>
        <v>8.89</v>
      </c>
    </row>
    <row r="28" s="2" customFormat="1" spans="1:8">
      <c r="A28" s="21">
        <v>45621</v>
      </c>
      <c r="B28" s="11">
        <f>IF(A28&lt;&gt;"",INDEX('[3]01-数据'!$C$2:$ND$2,MATCH(A28,'[3]01-数据'!$C$1:$ND$1))," ")</f>
        <v>260.48</v>
      </c>
      <c r="C28" s="11">
        <f>IF(A28&lt;&gt;"",INDEX('[3]01-数据'!$C$3:$ND$3,MATCH(A28,'[3]01-数据'!$C$1:$ND$1))," ")</f>
        <v>6280.76</v>
      </c>
      <c r="D28" s="12">
        <f>IF(A28&lt;&gt;"",INDEX('[3]01-数据'!$C$4:$ND$4,MATCH(A28,'[3]01-数据'!$C$1:$ND$1))," ")</f>
        <v>0.0229</v>
      </c>
      <c r="E28" s="11">
        <f>IF(A28&lt;&gt;"",INDEX('[3]01-数据'!$C$6:$ND$6,MATCH(A28,'[3]01-数据'!$C$1:$ND$1))," ")</f>
        <v>85853.03</v>
      </c>
      <c r="F28" s="15">
        <f>IF(A28&lt;&gt;"",INDEX('[3]01-数据'!$C$7:$ND$7,MATCH(A28,'[3]01-数据'!$C$1:$ND$1))," ")</f>
        <v>0.0729</v>
      </c>
      <c r="G28" s="22">
        <f>IF(A28&lt;&gt;"",INDEX('[3]01-数据'!$C$11:$ND$11,MATCH(A28,'[3]01-数据'!$C$1:$ND$1))," ")</f>
        <v>11.63</v>
      </c>
      <c r="H28" s="22">
        <f>IF(A28&lt;&gt;"",INDEX('[3]01-数据'!$C$14:$ND$14,MATCH(A28,'[3]01-数据'!$C$1:$ND$1))," ")</f>
        <v>8.78</v>
      </c>
    </row>
    <row r="29" s="2" customFormat="1" spans="1:8">
      <c r="A29" s="21">
        <v>45622</v>
      </c>
      <c r="B29" s="11">
        <f>IF(A29&lt;&gt;"",INDEX('[3]01-数据'!$C$2:$ND$2,MATCH(A29,'[3]01-数据'!$C$1:$ND$1))," ")</f>
        <v>265.08</v>
      </c>
      <c r="C29" s="11">
        <f>IF(A29&lt;&gt;"",INDEX('[3]01-数据'!$C$3:$ND$3,MATCH(A29,'[3]01-数据'!$C$1:$ND$1))," ")</f>
        <v>6545.85</v>
      </c>
      <c r="D29" s="12">
        <f>IF(A29&lt;&gt;"",INDEX('[3]01-数据'!$C$4:$ND$4,MATCH(A29,'[3]01-数据'!$C$1:$ND$1))," ")</f>
        <v>0.0248</v>
      </c>
      <c r="E29" s="11">
        <f>IF(A29&lt;&gt;"",INDEX('[3]01-数据'!$C$6:$ND$6,MATCH(A29,'[3]01-数据'!$C$1:$ND$1))," ")</f>
        <v>86118.11</v>
      </c>
      <c r="F29" s="15">
        <f>IF(A29&lt;&gt;"",INDEX('[3]01-数据'!$C$7:$ND$7,MATCH(A29,'[3]01-数据'!$C$1:$ND$1))," ")</f>
        <v>0.0729</v>
      </c>
      <c r="G29" s="22">
        <f>IF(A29&lt;&gt;"",INDEX('[3]01-数据'!$C$11:$ND$11,MATCH(A29,'[3]01-数据'!$C$1:$ND$1))," ")</f>
        <v>11.63</v>
      </c>
      <c r="H29" s="22">
        <f>IF(A29&lt;&gt;"",INDEX('[3]01-数据'!$C$14:$ND$14,MATCH(A29,'[3]01-数据'!$C$1:$ND$1))," ")</f>
        <v>9.11</v>
      </c>
    </row>
    <row r="30" s="2" customFormat="1" spans="1:8">
      <c r="A30" s="21">
        <v>45623</v>
      </c>
      <c r="B30" s="11">
        <f>IF(A30&lt;&gt;"",INDEX('[3]01-数据'!$C$2:$ND$2,MATCH(A30,'[3]01-数据'!$C$1:$ND$1))," ")</f>
        <v>266.34</v>
      </c>
      <c r="C30" s="11">
        <f>IF(A30&lt;&gt;"",INDEX('[3]01-数据'!$C$3:$ND$3,MATCH(A30,'[3]01-数据'!$C$1:$ND$1))," ")</f>
        <v>6812.19</v>
      </c>
      <c r="D30" s="12">
        <f>IF(A30&lt;&gt;"",INDEX('[3]01-数据'!$C$4:$ND$4,MATCH(A30,'[3]01-数据'!$C$1:$ND$1))," ")</f>
        <v>0.026</v>
      </c>
      <c r="E30" s="11">
        <f>IF(A30&lt;&gt;"",INDEX('[3]01-数据'!$C$6:$ND$6,MATCH(A30,'[3]01-数据'!$C$1:$ND$1))," ")</f>
        <v>86384.45</v>
      </c>
      <c r="F30" s="15">
        <f>IF(A30&lt;&gt;"",INDEX('[3]01-数据'!$C$7:$ND$7,MATCH(A30,'[3]01-数据'!$C$1:$ND$1))," ")</f>
        <v>0.0728</v>
      </c>
      <c r="G30" s="22">
        <f>IF(A30&lt;&gt;"",INDEX('[3]01-数据'!$C$11:$ND$11,MATCH(A30,'[3]01-数据'!$C$1:$ND$1))," ")</f>
        <v>11.69</v>
      </c>
      <c r="H30" s="22">
        <f>IF(A30&lt;&gt;"",INDEX('[3]01-数据'!$C$14:$ND$14,MATCH(A30,'[3]01-数据'!$C$1:$ND$1))," ")</f>
        <v>9.18</v>
      </c>
    </row>
    <row r="31" s="2" customFormat="1" spans="1:8">
      <c r="A31" s="21">
        <v>45624</v>
      </c>
      <c r="B31" s="11">
        <f>IF(A31&lt;&gt;"",INDEX('[3]01-数据'!$C$2:$ND$2,MATCH(A31,'[3]01-数据'!$C$1:$ND$1))," ")</f>
        <v>267.08</v>
      </c>
      <c r="C31" s="11">
        <f>IF(A31&lt;&gt;"",INDEX('[3]01-数据'!$C$3:$ND$3,MATCH(A31,'[3]01-数据'!$C$1:$ND$1))," ")</f>
        <v>7079.28</v>
      </c>
      <c r="D31" s="12">
        <f>IF(A31&lt;&gt;"",INDEX('[3]01-数据'!$C$4:$ND$4,MATCH(A31,'[3]01-数据'!$C$1:$ND$1))," ")</f>
        <v>0.027</v>
      </c>
      <c r="E31" s="11">
        <f>IF(A31&lt;&gt;"",INDEX('[3]01-数据'!$C$6:$ND$6,MATCH(A31,'[3]01-数据'!$C$1:$ND$1))," ")</f>
        <v>86651.54</v>
      </c>
      <c r="F31" s="15">
        <f>IF(A31&lt;&gt;"",INDEX('[3]01-数据'!$C$7:$ND$7,MATCH(A31,'[3]01-数据'!$C$1:$ND$1))," ")</f>
        <v>0.0728</v>
      </c>
      <c r="G31" s="22">
        <f>IF(A31&lt;&gt;"",INDEX('[3]01-数据'!$C$11:$ND$11,MATCH(A31,'[3]01-数据'!$C$1:$ND$1))," ")</f>
        <v>11.69</v>
      </c>
      <c r="H31" s="22">
        <f>IF(A31&lt;&gt;"",INDEX('[3]01-数据'!$C$14:$ND$14,MATCH(A31,'[3]01-数据'!$C$1:$ND$1))," ")</f>
        <v>9.21</v>
      </c>
    </row>
    <row r="32" s="2" customFormat="1" spans="1:8">
      <c r="A32" s="21">
        <v>45625</v>
      </c>
      <c r="B32" s="11">
        <f>IF(A32&lt;&gt;"",INDEX('[3]01-数据'!$C$2:$ND$2,MATCH(A32,'[3]01-数据'!$C$1:$ND$1))," ")</f>
        <v>264.72</v>
      </c>
      <c r="C32" s="11">
        <f>IF(A32&lt;&gt;"",INDEX('[3]01-数据'!$C$3:$ND$3,MATCH(A32,'[3]01-数据'!$C$1:$ND$1))," ")</f>
        <v>7344</v>
      </c>
      <c r="D32" s="12">
        <f>IF(A32&lt;&gt;"",INDEX('[3]01-数据'!$C$4:$ND$4,MATCH(A32,'[3]01-数据'!$C$1:$ND$1))," ")</f>
        <v>0.0271</v>
      </c>
      <c r="E32" s="11">
        <f>IF(A32&lt;&gt;"",INDEX('[3]01-数据'!$C$6:$ND$6,MATCH(A32,'[3]01-数据'!$C$1:$ND$1))," ")</f>
        <v>86916.26</v>
      </c>
      <c r="F32" s="15">
        <f>IF(A32&lt;&gt;"",INDEX('[3]01-数据'!$C$7:$ND$7,MATCH(A32,'[3]01-数据'!$C$1:$ND$1))," ")</f>
        <v>0.0726</v>
      </c>
      <c r="G32" s="22">
        <f>IF(A32&lt;&gt;"",INDEX('[3]01-数据'!$C$11:$ND$11,MATCH(A32,'[3]01-数据'!$C$1:$ND$1))," ")</f>
        <v>11.6</v>
      </c>
      <c r="H32" s="22">
        <f>IF(A32&lt;&gt;"",INDEX('[3]01-数据'!$C$14:$ND$14,MATCH(A32,'[3]01-数据'!$C$1:$ND$1))," ")</f>
        <v>9.19</v>
      </c>
    </row>
    <row r="33" s="1" customFormat="1" spans="1:8">
      <c r="A33" s="20">
        <v>45626</v>
      </c>
      <c r="B33" s="8">
        <f>IF(A33&lt;&gt;"",INDEX('[3]01-数据'!$C$2:$ND$2,MATCH(A33,'[3]01-数据'!$C$1:$ND$1))," ")</f>
        <v>258.53</v>
      </c>
      <c r="C33" s="8">
        <f>IF(A33&lt;&gt;"",INDEX('[3]01-数据'!$C$3:$ND$3,MATCH(A33,'[3]01-数据'!$C$1:$ND$1))," ")</f>
        <v>7602.52</v>
      </c>
      <c r="D33" s="9">
        <f>IF(A33&lt;&gt;"",INDEX('[3]01-数据'!$C$4:$ND$4,MATCH(A33,'[3]01-数据'!$C$1:$ND$1))," ")</f>
        <v>0.026</v>
      </c>
      <c r="E33" s="8">
        <f>IF(A33&lt;&gt;"",INDEX('[3]01-数据'!$C$6:$ND$6,MATCH(A33,'[3]01-数据'!$C$1:$ND$1))," ")</f>
        <v>87174.78</v>
      </c>
      <c r="F33" s="14">
        <f>IF(A33&lt;&gt;"",INDEX('[3]01-数据'!$C$7:$ND$7,MATCH(A33,'[3]01-数据'!$C$1:$ND$1))," ")</f>
        <v>0.0724</v>
      </c>
      <c r="G33" s="23">
        <f>IF(A33&lt;&gt;"",INDEX('[3]01-数据'!$C$11:$ND$11,MATCH(A33,'[3]01-数据'!$C$1:$ND$1))," ")</f>
        <v>11.25</v>
      </c>
      <c r="H33" s="23">
        <f>IF(A33&lt;&gt;"",INDEX('[3]01-数据'!$C$14:$ND$14,MATCH(A33,'[3]01-数据'!$C$1:$ND$1))," ")</f>
        <v>9.15</v>
      </c>
    </row>
    <row r="34" spans="1:8">
      <c r="A34" s="13" t="s">
        <v>11</v>
      </c>
      <c r="B34" s="13"/>
      <c r="C34" s="13"/>
      <c r="D34" s="13"/>
      <c r="E34" s="13"/>
      <c r="F34" s="13"/>
      <c r="G34" s="16"/>
      <c r="H34" s="16"/>
    </row>
  </sheetData>
  <mergeCells count="2">
    <mergeCell ref="A1:H1"/>
    <mergeCell ref="A2:H2"/>
  </mergeCells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35"/>
  <sheetViews>
    <sheetView tabSelected="1" zoomScale="145" zoomScaleNormal="145" topLeftCell="A15" workbookViewId="0">
      <selection activeCell="I29" sqref="I29"/>
    </sheetView>
  </sheetViews>
  <sheetFormatPr defaultColWidth="9" defaultRowHeight="14.25"/>
  <cols>
    <col min="1" max="1" width="12.325" customWidth="1"/>
    <col min="2" max="2" width="11.875" customWidth="1"/>
    <col min="3" max="3" width="13.375" customWidth="1"/>
    <col min="4" max="4" width="11.875" customWidth="1"/>
    <col min="5" max="5" width="14" customWidth="1"/>
    <col min="6" max="6" width="9.875" customWidth="1"/>
    <col min="11" max="11" width="9.33333333333333"/>
  </cols>
  <sheetData>
    <row r="1" ht="18.75" spans="1:8">
      <c r="A1" s="3" t="s">
        <v>25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/>
      <c r="C2" s="4"/>
      <c r="D2" s="4"/>
      <c r="E2" s="4"/>
      <c r="F2" s="4"/>
      <c r="G2" s="4"/>
      <c r="H2" s="4"/>
    </row>
    <row r="3" spans="1:8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</v>
      </c>
      <c r="G3" s="5" t="s">
        <v>7</v>
      </c>
      <c r="H3" s="5" t="s">
        <v>8</v>
      </c>
    </row>
    <row r="4" s="1" customFormat="1" spans="1:8">
      <c r="A4" s="7">
        <v>45627</v>
      </c>
      <c r="B4" s="8">
        <f>IF(A4&lt;&gt;"",INDEX('[3]01-数据'!$C$2:$ND$2,MATCH(A4,'[3]01-数据'!$C$1:$ND$1))," ")</f>
        <v>250.28</v>
      </c>
      <c r="C4" s="8">
        <f>IF(A4&lt;&gt;"",INDEX('[3]01-数据'!$C$3:$ND$3,MATCH(A4,'[3]01-数据'!$C$1:$ND$1))," ")</f>
        <v>250.28</v>
      </c>
      <c r="D4" s="9">
        <f>IF(A4&lt;&gt;"",INDEX('[3]01-数据'!$C$4:$ND$4,MATCH(A4,'[3]01-数据'!$C$1:$ND$1))," ")</f>
        <v>0.0338</v>
      </c>
      <c r="E4" s="8">
        <f>IF(A4&lt;&gt;"",INDEX('[3]01-数据'!$C$6:$ND$6,MATCH(A4,'[3]01-数据'!$C$1:$ND$1))," ")</f>
        <v>87425.07</v>
      </c>
      <c r="F4" s="14">
        <f>IF(A4&lt;&gt;"",INDEX('[3]01-数据'!$C$7:$ND$7,MATCH(A4,'[3]01-数据'!$C$1:$ND$1))," ")</f>
        <v>0.072</v>
      </c>
      <c r="G4" s="8">
        <f>IF(A4&lt;&gt;"",INDEX('[3]01-数据'!$C$11:$ND$11,MATCH(A4,'[3]01-数据'!$C$1:$ND$1))," ")</f>
        <v>10.85</v>
      </c>
      <c r="H4" s="8">
        <f>IF(A4&lt;&gt;"",INDEX('[3]01-数据'!$C$14:$ND$14,MATCH(A4,'[3]01-数据'!$C$1:$ND$1))," ")</f>
        <v>8.9</v>
      </c>
    </row>
    <row r="5" spans="1:8">
      <c r="A5" s="10">
        <v>45628</v>
      </c>
      <c r="B5" s="11">
        <f>IF(A5&lt;&gt;"",INDEX('[3]01-数据'!$C$2:$ND$2,MATCH(A5,'[3]01-数据'!$C$1:$ND$1))," ")</f>
        <v>260.28</v>
      </c>
      <c r="C5" s="11">
        <f>IF(A5&lt;&gt;"",INDEX('[3]01-数据'!$C$3:$ND$3,MATCH(A5,'[3]01-数据'!$C$1:$ND$1))," ")</f>
        <v>510.56</v>
      </c>
      <c r="D5" s="12">
        <f>IF(A5&lt;&gt;"",INDEX('[3]01-数据'!$C$4:$ND$4,MATCH(A5,'[3]01-数据'!$C$1:$ND$1))," ")</f>
        <v>-0.0074</v>
      </c>
      <c r="E5" s="11">
        <f>IF(A5&lt;&gt;"",INDEX('[3]01-数据'!$C$6:$ND$6,MATCH(A5,'[3]01-数据'!$C$1:$ND$1))," ")</f>
        <v>87685.34</v>
      </c>
      <c r="F5" s="15">
        <f>IF(A5&lt;&gt;"",INDEX('[3]01-数据'!$C$7:$ND$7,MATCH(A5,'[3]01-数据'!$C$1:$ND$1))," ")</f>
        <v>0.0719</v>
      </c>
      <c r="G5" s="11">
        <f>IF(A5&lt;&gt;"",INDEX('[3]01-数据'!$C$11:$ND$11,MATCH(A5,'[3]01-数据'!$C$1:$ND$1))," ")</f>
        <v>11.46</v>
      </c>
      <c r="H5" s="11">
        <f>IF(A5&lt;&gt;"",INDEX('[3]01-数据'!$C$14:$ND$14,MATCH(A5,'[3]01-数据'!$C$1:$ND$1))," ")</f>
        <v>8.77</v>
      </c>
    </row>
    <row r="6" spans="1:8">
      <c r="A6" s="10">
        <v>45629</v>
      </c>
      <c r="B6" s="11">
        <f>IF(A6&lt;&gt;"",INDEX('[3]01-数据'!$C$2:$ND$2,MATCH(A6,'[3]01-数据'!$C$1:$ND$1))," ")</f>
        <v>265.62</v>
      </c>
      <c r="C6" s="11">
        <f>IF(A6&lt;&gt;"",INDEX('[3]01-数据'!$C$3:$ND$3,MATCH(A6,'[3]01-数据'!$C$1:$ND$1))," ")</f>
        <v>776.18</v>
      </c>
      <c r="D6" s="12">
        <f>IF(A6&lt;&gt;"",INDEX('[3]01-数据'!$C$4:$ND$4,MATCH(A6,'[3]01-数据'!$C$1:$ND$1))," ")</f>
        <v>0.015</v>
      </c>
      <c r="E6" s="11">
        <f>IF(A6&lt;&gt;"",INDEX('[3]01-数据'!$C$6:$ND$6,MATCH(A6,'[3]01-数据'!$C$1:$ND$1))," ")</f>
        <v>87950.97</v>
      </c>
      <c r="F6" s="15">
        <f>IF(A6&lt;&gt;"",INDEX('[3]01-数据'!$C$7:$ND$7,MATCH(A6,'[3]01-数据'!$C$1:$ND$1))," ")</f>
        <v>0.0719</v>
      </c>
      <c r="G6" s="11">
        <f>IF(A6&lt;&gt;"",INDEX('[3]01-数据'!$C$11:$ND$11,MATCH(A6,'[3]01-数据'!$C$1:$ND$1))," ")</f>
        <v>11.61</v>
      </c>
      <c r="H6" s="11">
        <f>IF(A6&lt;&gt;"",INDEX('[3]01-数据'!$C$14:$ND$14,MATCH(A6,'[3]01-数据'!$C$1:$ND$1))," ")</f>
        <v>9.14</v>
      </c>
    </row>
    <row r="7" spans="1:8">
      <c r="A7" s="10">
        <v>45630</v>
      </c>
      <c r="B7" s="11">
        <f>IF(A7&lt;&gt;"",INDEX('[3]01-数据'!$C$2:$ND$2,MATCH(A7,'[3]01-数据'!$C$1:$ND$1))," ")</f>
        <v>267.67</v>
      </c>
      <c r="C7" s="11">
        <f>IF(A7&lt;&gt;"",INDEX('[3]01-数据'!$C$3:$ND$3,MATCH(A7,'[3]01-数据'!$C$1:$ND$1))," ")</f>
        <v>1043.86</v>
      </c>
      <c r="D7" s="12">
        <f>IF(A7&lt;&gt;"",INDEX('[3]01-数据'!$C$4:$ND$4,MATCH(A7,'[3]01-数据'!$C$1:$ND$1))," ")</f>
        <v>0.024</v>
      </c>
      <c r="E7" s="11">
        <f>IF(A7&lt;&gt;"",INDEX('[3]01-数据'!$C$6:$ND$6,MATCH(A7,'[3]01-数据'!$C$1:$ND$1))," ")</f>
        <v>88218.64</v>
      </c>
      <c r="F7" s="15">
        <f>IF(A7&lt;&gt;"",INDEX('[3]01-数据'!$C$7:$ND$7,MATCH(A7,'[3]01-数据'!$C$1:$ND$1))," ")</f>
        <v>0.0718</v>
      </c>
      <c r="G7" s="11">
        <f>IF(A7&lt;&gt;"",INDEX('[3]01-数据'!$C$11:$ND$11,MATCH(A7,'[3]01-数据'!$C$1:$ND$1))," ")</f>
        <v>11.72</v>
      </c>
      <c r="H7" s="11">
        <f>IF(A7&lt;&gt;"",INDEX('[3]01-数据'!$C$14:$ND$14,MATCH(A7,'[3]01-数据'!$C$1:$ND$1))," ")</f>
        <v>9.19</v>
      </c>
    </row>
    <row r="8" spans="1:8">
      <c r="A8" s="10">
        <v>45631</v>
      </c>
      <c r="B8" s="11">
        <f>IF(A8&lt;&gt;"",INDEX('[3]01-数据'!$C$2:$ND$2,MATCH(A8,'[3]01-数据'!$C$1:$ND$1))," ")</f>
        <v>269.04</v>
      </c>
      <c r="C8" s="11">
        <f>IF(A8&lt;&gt;"",INDEX('[3]01-数据'!$C$3:$ND$3,MATCH(A8,'[3]01-数据'!$C$1:$ND$1))," ")</f>
        <v>1312.9</v>
      </c>
      <c r="D8" s="12">
        <f>IF(A8&lt;&gt;"",INDEX('[3]01-数据'!$C$4:$ND$4,MATCH(A8,'[3]01-数据'!$C$1:$ND$1))," ")</f>
        <v>0.0295</v>
      </c>
      <c r="E8" s="11">
        <f>IF(A8&lt;&gt;"",INDEX('[3]01-数据'!$C$6:$ND$6,MATCH(A8,'[3]01-数据'!$C$1:$ND$1))," ")</f>
        <v>88487.68</v>
      </c>
      <c r="F8" s="15">
        <f>IF(A8&lt;&gt;"",INDEX('[3]01-数据'!$C$7:$ND$7,MATCH(A8,'[3]01-数据'!$C$1:$ND$1))," ")</f>
        <v>0.0717</v>
      </c>
      <c r="G8" s="11">
        <f>IF(A8&lt;&gt;"",INDEX('[3]01-数据'!$C$11:$ND$11,MATCH(A8,'[3]01-数据'!$C$1:$ND$1))," ")</f>
        <v>11.79</v>
      </c>
      <c r="H8" s="11">
        <f>IF(A8&lt;&gt;"",INDEX('[3]01-数据'!$C$14:$ND$14,MATCH(A8,'[3]01-数据'!$C$1:$ND$1))," ")</f>
        <v>9.23</v>
      </c>
    </row>
    <row r="9" spans="1:8">
      <c r="A9" s="10">
        <v>45632</v>
      </c>
      <c r="B9" s="11">
        <f>IF(A9&lt;&gt;"",INDEX('[3]01-数据'!$C$2:$ND$2,MATCH(A9,'[3]01-数据'!$C$1:$ND$1))," ")</f>
        <v>270.63</v>
      </c>
      <c r="C9" s="11">
        <f>IF(A9&lt;&gt;"",INDEX('[3]01-数据'!$C$3:$ND$3,MATCH(A9,'[3]01-数据'!$C$1:$ND$1))," ")</f>
        <v>1583.53</v>
      </c>
      <c r="D9" s="12">
        <f>IF(A9&lt;&gt;"",INDEX('[3]01-数据'!$C$4:$ND$4,MATCH(A9,'[3]01-数据'!$C$1:$ND$1))," ")</f>
        <v>0.0351</v>
      </c>
      <c r="E9" s="11">
        <f>IF(A9&lt;&gt;"",INDEX('[3]01-数据'!$C$6:$ND$6,MATCH(A9,'[3]01-数据'!$C$1:$ND$1))," ")</f>
        <v>88758.31</v>
      </c>
      <c r="F9" s="15">
        <f>IF(A9&lt;&gt;"",INDEX('[3]01-数据'!$C$7:$ND$7,MATCH(A9,'[3]01-数据'!$C$1:$ND$1))," ")</f>
        <v>0.0717</v>
      </c>
      <c r="G9" s="11">
        <f>IF(A9&lt;&gt;"",INDEX('[3]01-数据'!$C$11:$ND$11,MATCH(A9,'[3]01-数据'!$C$1:$ND$1))," ")</f>
        <v>11.87</v>
      </c>
      <c r="H9" s="11">
        <f>IF(A9&lt;&gt;"",INDEX('[3]01-数据'!$C$14:$ND$14,MATCH(A9,'[3]01-数据'!$C$1:$ND$1))," ")</f>
        <v>9.31</v>
      </c>
    </row>
    <row r="10" s="1" customFormat="1" spans="1:8">
      <c r="A10" s="7">
        <v>45633</v>
      </c>
      <c r="B10" s="8">
        <f>IF(A10&lt;&gt;"",INDEX('[3]01-数据'!$C$2:$ND$2,MATCH(A10,'[3]01-数据'!$C$1:$ND$1))," ")</f>
        <v>269.89</v>
      </c>
      <c r="C10" s="8">
        <f>IF(A10&lt;&gt;"",INDEX('[3]01-数据'!$C$3:$ND$3,MATCH(A10,'[3]01-数据'!$C$1:$ND$1))," ")</f>
        <v>1853.42</v>
      </c>
      <c r="D10" s="9">
        <f>IF(A10&lt;&gt;"",INDEX('[3]01-数据'!$C$4:$ND$4,MATCH(A10,'[3]01-数据'!$C$1:$ND$1))," ")</f>
        <v>0.0392</v>
      </c>
      <c r="E10" s="8">
        <f>IF(A10&lt;&gt;"",INDEX('[3]01-数据'!$C$6:$ND$6,MATCH(A10,'[3]01-数据'!$C$1:$ND$1))," ")</f>
        <v>89028.2</v>
      </c>
      <c r="F10" s="14">
        <f>IF(A10&lt;&gt;"",INDEX('[3]01-数据'!$C$7:$ND$7,MATCH(A10,'[3]01-数据'!$C$1:$ND$1))," ")</f>
        <v>0.0717</v>
      </c>
      <c r="G10" s="8">
        <f>IF(A10&lt;&gt;"",INDEX('[3]01-数据'!$C$11:$ND$11,MATCH(A10,'[3]01-数据'!$C$1:$ND$1))," ")</f>
        <v>11.82</v>
      </c>
      <c r="H10" s="8">
        <f>IF(A10&lt;&gt;"",INDEX('[3]01-数据'!$C$14:$ND$14,MATCH(A10,'[3]01-数据'!$C$1:$ND$1))," ")</f>
        <v>9.35</v>
      </c>
    </row>
    <row r="11" s="1" customFormat="1" spans="1:8">
      <c r="A11" s="7">
        <v>45634</v>
      </c>
      <c r="B11" s="8">
        <f>IF(A11&lt;&gt;"",INDEX('[3]01-数据'!$C$2:$ND$2,MATCH(A11,'[3]01-数据'!$C$1:$ND$1))," ")</f>
        <v>265.83</v>
      </c>
      <c r="C11" s="8">
        <f>IF(A11&lt;&gt;"",INDEX('[3]01-数据'!$C$3:$ND$3,MATCH(A11,'[3]01-数据'!$C$1:$ND$1))," ")</f>
        <v>2119.25</v>
      </c>
      <c r="D11" s="9">
        <f>IF(A11&lt;&gt;"",INDEX('[3]01-数据'!$C$4:$ND$4,MATCH(A11,'[3]01-数据'!$C$1:$ND$1))," ")</f>
        <v>0.041</v>
      </c>
      <c r="E11" s="8">
        <f>IF(A11&lt;&gt;"",INDEX('[3]01-数据'!$C$6:$ND$6,MATCH(A11,'[3]01-数据'!$C$1:$ND$1))," ")</f>
        <v>89294.03</v>
      </c>
      <c r="F11" s="14">
        <f>IF(A11&lt;&gt;"",INDEX('[3]01-数据'!$C$7:$ND$7,MATCH(A11,'[3]01-数据'!$C$1:$ND$1))," ")</f>
        <v>0.0716</v>
      </c>
      <c r="G11" s="8">
        <f>IF(A11&lt;&gt;"",INDEX('[3]01-数据'!$C$11:$ND$11,MATCH(A11,'[3]01-数据'!$C$1:$ND$1))," ")</f>
        <v>11.7</v>
      </c>
      <c r="H11" s="8">
        <f>IF(A11&lt;&gt;"",INDEX('[3]01-数据'!$C$14:$ND$14,MATCH(A11,'[3]01-数据'!$C$1:$ND$1))," ")</f>
        <v>9.33</v>
      </c>
    </row>
    <row r="12" spans="1:8">
      <c r="A12" s="10">
        <v>45635</v>
      </c>
      <c r="B12" s="11">
        <f>IF(A12&lt;&gt;"",INDEX('[3]01-数据'!$C$2:$ND$2,MATCH(A12,'[3]01-数据'!$C$1:$ND$1))," ")</f>
        <v>274.75</v>
      </c>
      <c r="C12" s="11">
        <f>IF(A12&lt;&gt;"",INDEX('[3]01-数据'!$C$3:$ND$3,MATCH(A12,'[3]01-数据'!$C$1:$ND$1))," ")</f>
        <v>2394</v>
      </c>
      <c r="D12" s="12">
        <f>IF(A12&lt;&gt;"",INDEX('[3]01-数据'!$C$4:$ND$4,MATCH(A12,'[3]01-数据'!$C$1:$ND$1))," ")</f>
        <v>0.0476</v>
      </c>
      <c r="E12" s="11">
        <f>IF(A12&lt;&gt;"",INDEX('[3]01-数据'!$C$6:$ND$6,MATCH(A12,'[3]01-数据'!$C$1:$ND$1))," ")</f>
        <v>89568.79</v>
      </c>
      <c r="F12" s="15">
        <f>IF(A12&lt;&gt;"",INDEX('[3]01-数据'!$C$7:$ND$7,MATCH(A12,'[3]01-数据'!$C$1:$ND$1))," ")</f>
        <v>0.0717</v>
      </c>
      <c r="G12" s="11">
        <f>IF(A12&lt;&gt;"",INDEX('[3]01-数据'!$C$11:$ND$11,MATCH(A12,'[3]01-数据'!$C$1:$ND$1))," ")</f>
        <v>12.23</v>
      </c>
      <c r="H12" s="11">
        <f>IF(A12&lt;&gt;"",INDEX('[3]01-数据'!$C$14:$ND$14,MATCH(A12,'[3]01-数据'!$C$1:$ND$1))," ")</f>
        <v>9.21</v>
      </c>
    </row>
    <row r="13" spans="1:11">
      <c r="A13" s="10">
        <v>45636</v>
      </c>
      <c r="B13" s="11">
        <f>IF(A13&lt;&gt;"",INDEX('[3]01-数据'!$C$2:$ND$2,MATCH(A13,'[3]01-数据'!$C$1:$ND$1))," ")</f>
        <v>278.15</v>
      </c>
      <c r="C13" s="11">
        <f>IF(A13&lt;&gt;"",INDEX('[3]01-数据'!$C$3:$ND$3,MATCH(A13,'[3]01-数据'!$C$1:$ND$1))," ")</f>
        <v>2672.16</v>
      </c>
      <c r="D13" s="12">
        <f>IF(A13&lt;&gt;"",INDEX('[3]01-数据'!$C$4:$ND$4,MATCH(A13,'[3]01-数据'!$C$1:$ND$1))," ")</f>
        <v>0.0549</v>
      </c>
      <c r="E13" s="11">
        <f>IF(A13&lt;&gt;"",INDEX('[3]01-数据'!$C$6:$ND$6,MATCH(A13,'[3]01-数据'!$C$1:$ND$1))," ")</f>
        <v>89846.94</v>
      </c>
      <c r="F13" s="15">
        <f>IF(A13&lt;&gt;"",INDEX('[3]01-数据'!$C$7:$ND$7,MATCH(A13,'[3]01-数据'!$C$1:$ND$1))," ")</f>
        <v>0.0719</v>
      </c>
      <c r="G13" s="11">
        <f>IF(A13&lt;&gt;"",INDEX('[3]01-数据'!$C$11:$ND$11,MATCH(A13,'[3]01-数据'!$C$1:$ND$1))," ")</f>
        <v>12.34</v>
      </c>
      <c r="H13" s="11">
        <f>IF(A13&lt;&gt;"",INDEX('[3]01-数据'!$C$14:$ND$14,MATCH(A13,'[3]01-数据'!$C$1:$ND$1))," ")</f>
        <v>9.43</v>
      </c>
      <c r="K13" s="17"/>
    </row>
    <row r="14" spans="1:11">
      <c r="A14" s="10">
        <v>45637</v>
      </c>
      <c r="B14" s="11">
        <f>IF(A14&lt;&gt;"",INDEX('[3]01-数据'!$C$2:$ND$2,MATCH(A14,'[3]01-数据'!$C$1:$ND$1))," ")</f>
        <v>279.25</v>
      </c>
      <c r="C14" s="11">
        <f>IF(A14&lt;&gt;"",INDEX('[3]01-数据'!$C$3:$ND$3,MATCH(A14,'[3]01-数据'!$C$1:$ND$1))," ")</f>
        <v>2951.4</v>
      </c>
      <c r="D14" s="12">
        <f>IF(A14&lt;&gt;"",INDEX('[3]01-数据'!$C$4:$ND$4,MATCH(A14,'[3]01-数据'!$C$1:$ND$1))," ")</f>
        <v>0.0565</v>
      </c>
      <c r="E14" s="11">
        <f>IF(A14&lt;&gt;"",INDEX('[3]01-数据'!$C$6:$ND$6,MATCH(A14,'[3]01-数据'!$C$1:$ND$1))," ")</f>
        <v>90126.19</v>
      </c>
      <c r="F14" s="15">
        <f>IF(A14&lt;&gt;"",INDEX('[3]01-数据'!$C$7:$ND$7,MATCH(A14,'[3]01-数据'!$C$1:$ND$1))," ")</f>
        <v>0.0719</v>
      </c>
      <c r="G14" s="11">
        <f>IF(A14&lt;&gt;"",INDEX('[3]01-数据'!$C$11:$ND$11,MATCH(A14,'[3]01-数据'!$C$1:$ND$1))," ")</f>
        <v>12.37</v>
      </c>
      <c r="H14" s="11">
        <f>IF(A14&lt;&gt;"",INDEX('[3]01-数据'!$C$14:$ND$14,MATCH(A14,'[3]01-数据'!$C$1:$ND$1))," ")</f>
        <v>9.45</v>
      </c>
      <c r="K14" s="17"/>
    </row>
    <row r="15" spans="1:11">
      <c r="A15" s="10">
        <v>45638</v>
      </c>
      <c r="B15" s="11">
        <f>IF(A15&lt;&gt;"",INDEX('[3]01-数据'!$C$2:$ND$2,MATCH(A15,'[3]01-数据'!$C$1:$ND$1))," ")</f>
        <v>282.38</v>
      </c>
      <c r="C15" s="11">
        <f>IF(A15&lt;&gt;"",INDEX('[3]01-数据'!$C$3:$ND$3,MATCH(A15,'[3]01-数据'!$C$1:$ND$1))," ")</f>
        <v>3233.78</v>
      </c>
      <c r="D15" s="12">
        <f>IF(A15&lt;&gt;"",INDEX('[3]01-数据'!$C$4:$ND$4,MATCH(A15,'[3]01-数据'!$C$1:$ND$1))," ")</f>
        <v>0.0566</v>
      </c>
      <c r="E15" s="11">
        <f>IF(A15&lt;&gt;"",INDEX('[3]01-数据'!$C$6:$ND$6,MATCH(A15,'[3]01-数据'!$C$1:$ND$1))," ")</f>
        <v>90408.56</v>
      </c>
      <c r="F15" s="15">
        <f>IF(A15&lt;&gt;"",INDEX('[3]01-数据'!$C$7:$ND$7,MATCH(A15,'[3]01-数据'!$C$1:$ND$1))," ")</f>
        <v>0.0718</v>
      </c>
      <c r="G15" s="11">
        <f>IF(A15&lt;&gt;"",INDEX('[3]01-数据'!$C$11:$ND$11,MATCH(A15,'[3]01-数据'!$C$1:$ND$1))," ")</f>
        <v>12.55</v>
      </c>
      <c r="H15" s="11">
        <f>IF(A15&lt;&gt;"",INDEX('[3]01-数据'!$C$14:$ND$14,MATCH(A15,'[3]01-数据'!$C$1:$ND$1))," ")</f>
        <v>9.54</v>
      </c>
      <c r="K15" s="17"/>
    </row>
    <row r="16" spans="1:8">
      <c r="A16" s="10">
        <v>45639</v>
      </c>
      <c r="B16" s="11">
        <f>IF(A16&lt;&gt;"",INDEX('[3]01-数据'!$C$2:$ND$2,MATCH(A16,'[3]01-数据'!$C$1:$ND$1))," ")</f>
        <v>283.2</v>
      </c>
      <c r="C16" s="11">
        <f>IF(A16&lt;&gt;"",INDEX('[3]01-数据'!$C$3:$ND$3,MATCH(A16,'[3]01-数据'!$C$1:$ND$1))," ")</f>
        <v>3516.98</v>
      </c>
      <c r="D16" s="12">
        <f>IF(A16&lt;&gt;"",INDEX('[3]01-数据'!$C$4:$ND$4,MATCH(A16,'[3]01-数据'!$C$1:$ND$1))," ")</f>
        <v>0.0567</v>
      </c>
      <c r="E16" s="11">
        <f>IF(A16&lt;&gt;"",INDEX('[3]01-数据'!$C$6:$ND$6,MATCH(A16,'[3]01-数据'!$C$1:$ND$1))," ")</f>
        <v>90691.76</v>
      </c>
      <c r="F16" s="15">
        <f>IF(A16&lt;&gt;"",INDEX('[3]01-数据'!$C$7:$ND$7,MATCH(A16,'[3]01-数据'!$C$1:$ND$1))," ")</f>
        <v>0.0718</v>
      </c>
      <c r="G16" s="11">
        <f>IF(A16&lt;&gt;"",INDEX('[3]01-数据'!$C$11:$ND$11,MATCH(A16,'[3]01-数据'!$C$1:$ND$1))," ")</f>
        <v>12.55</v>
      </c>
      <c r="H16" s="11">
        <f>IF(A16&lt;&gt;"",INDEX('[3]01-数据'!$C$14:$ND$14,MATCH(A16,'[3]01-数据'!$C$1:$ND$1))," ")</f>
        <v>9.58</v>
      </c>
    </row>
    <row r="17" s="1" customFormat="1" spans="1:8">
      <c r="A17" s="7">
        <v>45640</v>
      </c>
      <c r="B17" s="8">
        <f>IF(A17&lt;&gt;"",INDEX('[3]01-数据'!$C$2:$ND$2,MATCH(A17,'[3]01-数据'!$C$1:$ND$1))," ")</f>
        <v>281.52</v>
      </c>
      <c r="C17" s="8">
        <f>IF(A17&lt;&gt;"",INDEX('[3]01-数据'!$C$3:$ND$3,MATCH(A17,'[3]01-数据'!$C$1:$ND$1))," ")</f>
        <v>3798.5</v>
      </c>
      <c r="D17" s="9">
        <f>IF(A17&lt;&gt;"",INDEX('[3]01-数据'!$C$4:$ND$4,MATCH(A17,'[3]01-数据'!$C$1:$ND$1))," ")</f>
        <v>0.0567</v>
      </c>
      <c r="E17" s="8">
        <f>IF(A17&lt;&gt;"",INDEX('[3]01-数据'!$C$6:$ND$6,MATCH(A17,'[3]01-数据'!$C$1:$ND$1))," ")</f>
        <v>90973.29</v>
      </c>
      <c r="F17" s="14">
        <f>IF(A17&lt;&gt;"",INDEX('[3]01-数据'!$C$7:$ND$7,MATCH(A17,'[3]01-数据'!$C$1:$ND$1))," ")</f>
        <v>0.0717</v>
      </c>
      <c r="G17" s="8">
        <f>IF(A17&lt;&gt;"",INDEX('[3]01-数据'!$C$11:$ND$11,MATCH(A17,'[3]01-数据'!$C$1:$ND$1))," ")</f>
        <v>12.32</v>
      </c>
      <c r="H17" s="8">
        <f>IF(A17&lt;&gt;"",INDEX('[3]01-数据'!$C$14:$ND$14,MATCH(A17,'[3]01-数据'!$C$1:$ND$1))," ")</f>
        <v>9.69</v>
      </c>
    </row>
    <row r="18" s="1" customFormat="1" spans="1:8">
      <c r="A18" s="7">
        <v>45641</v>
      </c>
      <c r="B18" s="8">
        <f>IF(A18&lt;&gt;"",INDEX('[3]01-数据'!$C$2:$ND$2,MATCH(A18,'[3]01-数据'!$C$1:$ND$1))," ")</f>
        <v>273.86</v>
      </c>
      <c r="C18" s="8">
        <f>IF(A18&lt;&gt;"",INDEX('[3]01-数据'!$C$3:$ND$3,MATCH(A18,'[3]01-数据'!$C$1:$ND$1))," ")</f>
        <v>4072.36</v>
      </c>
      <c r="D18" s="9">
        <f>IF(A18&lt;&gt;"",INDEX('[3]01-数据'!$C$4:$ND$4,MATCH(A18,'[3]01-数据'!$C$1:$ND$1))," ")</f>
        <v>0.0528</v>
      </c>
      <c r="E18" s="8">
        <f>IF(A18&lt;&gt;"",INDEX('[3]01-数据'!$C$6:$ND$6,MATCH(A18,'[3]01-数据'!$C$1:$ND$1))," ")</f>
        <v>91247.14</v>
      </c>
      <c r="F18" s="14">
        <f>IF(A18&lt;&gt;"",INDEX('[3]01-数据'!$C$7:$ND$7,MATCH(A18,'[3]01-数据'!$C$1:$ND$1))," ")</f>
        <v>0.0715</v>
      </c>
      <c r="G18" s="8">
        <f>IF(A18&lt;&gt;"",INDEX('[3]01-数据'!$C$11:$ND$11,MATCH(A18,'[3]01-数据'!$C$1:$ND$1))," ")</f>
        <v>11.98</v>
      </c>
      <c r="H18" s="8">
        <f>IF(A18&lt;&gt;"",INDEX('[3]01-数据'!$C$14:$ND$14,MATCH(A18,'[3]01-数据'!$C$1:$ND$1))," ")</f>
        <v>9.6</v>
      </c>
    </row>
    <row r="19" spans="1:8">
      <c r="A19" s="10">
        <v>45642</v>
      </c>
      <c r="B19" s="11">
        <f>IF(A19&lt;&gt;"",INDEX('[3]01-数据'!$C$2:$ND$2,MATCH(A19,'[3]01-数据'!$C$1:$ND$1))," ")</f>
        <v>278.6</v>
      </c>
      <c r="C19" s="11">
        <f>IF(A19&lt;&gt;"",INDEX('[3]01-数据'!$C$3:$ND$3,MATCH(A19,'[3]01-数据'!$C$1:$ND$1))," ")</f>
        <v>4350.96</v>
      </c>
      <c r="D19" s="12">
        <f>IF(A19&lt;&gt;"",INDEX('[3]01-数据'!$C$4:$ND$4,MATCH(A19,'[3]01-数据'!$C$1:$ND$1))," ")</f>
        <v>0.0499</v>
      </c>
      <c r="E19" s="11">
        <f>IF(A19&lt;&gt;"",INDEX('[3]01-数据'!$C$6:$ND$6,MATCH(A19,'[3]01-数据'!$C$1:$ND$1))," ")</f>
        <v>91525.75</v>
      </c>
      <c r="F19" s="15">
        <f>IF(A19&lt;&gt;"",INDEX('[3]01-数据'!$C$7:$ND$7,MATCH(A19,'[3]01-数据'!$C$1:$ND$1))," ")</f>
        <v>0.0713</v>
      </c>
      <c r="G19" s="11">
        <f>IF(A19&lt;&gt;"",INDEX('[3]01-数据'!$C$11:$ND$11,MATCH(A19,'[3]01-数据'!$C$1:$ND$1))," ")</f>
        <v>12.34</v>
      </c>
      <c r="H19" s="11">
        <f>IF(A19&lt;&gt;"",INDEX('[3]01-数据'!$C$14:$ND$14,MATCH(A19,'[3]01-数据'!$C$1:$ND$1))," ")</f>
        <v>9.39</v>
      </c>
    </row>
    <row r="20" spans="1:8">
      <c r="A20" s="10">
        <v>45643</v>
      </c>
      <c r="B20" s="11">
        <f>IF(A20&lt;&gt;"",INDEX('[3]01-数据'!$C$2:$ND$2,MATCH(A20,'[3]01-数据'!$C$1:$ND$1))," ")</f>
        <v>280.87</v>
      </c>
      <c r="C20" s="11">
        <f>IF(A20&lt;&gt;"",INDEX('[3]01-数据'!$C$3:$ND$3,MATCH(A20,'[3]01-数据'!$C$1:$ND$1))," ")</f>
        <v>4631.84</v>
      </c>
      <c r="D20" s="12">
        <f>IF(A20&lt;&gt;"",INDEX('[3]01-数据'!$C$4:$ND$4,MATCH(A20,'[3]01-数据'!$C$1:$ND$1))," ")</f>
        <v>0.0479</v>
      </c>
      <c r="E20" s="11">
        <f>IF(A20&lt;&gt;"",INDEX('[3]01-数据'!$C$6:$ND$6,MATCH(A20,'[3]01-数据'!$C$1:$ND$1))," ")</f>
        <v>91806.62</v>
      </c>
      <c r="F20" s="15">
        <f>IF(A20&lt;&gt;"",INDEX('[3]01-数据'!$C$7:$ND$7,MATCH(A20,'[3]01-数据'!$C$1:$ND$1))," ")</f>
        <v>0.0711</v>
      </c>
      <c r="G20" s="11">
        <f>IF(A20&lt;&gt;"",INDEX('[3]01-数据'!$C$11:$ND$11,MATCH(A20,'[3]01-数据'!$C$1:$ND$1))," ")</f>
        <v>12.36</v>
      </c>
      <c r="H20" s="11">
        <f>IF(A20&lt;&gt;"",INDEX('[3]01-数据'!$C$14:$ND$14,MATCH(A20,'[3]01-数据'!$C$1:$ND$1))," ")</f>
        <v>9.62</v>
      </c>
    </row>
    <row r="21" spans="1:8">
      <c r="A21" s="10">
        <v>45644</v>
      </c>
      <c r="B21" s="11">
        <f>IF(A21&lt;&gt;"",INDEX('[3]01-数据'!$C$2:$ND$2,MATCH(A21,'[3]01-数据'!$C$1:$ND$1))," ")</f>
        <v>283.28</v>
      </c>
      <c r="C21" s="11">
        <f>IF(A21&lt;&gt;"",INDEX('[3]01-数据'!$C$3:$ND$3,MATCH(A21,'[3]01-数据'!$C$1:$ND$1))," ")</f>
        <v>4915.11</v>
      </c>
      <c r="D21" s="12">
        <f>IF(A21&lt;&gt;"",INDEX('[3]01-数据'!$C$4:$ND$4,MATCH(A21,'[3]01-数据'!$C$1:$ND$1))," ")</f>
        <v>0.0443</v>
      </c>
      <c r="E21" s="11">
        <f>IF(A21&lt;&gt;"",INDEX('[3]01-数据'!$C$6:$ND$6,MATCH(A21,'[3]01-数据'!$C$1:$ND$1))," ")</f>
        <v>92089.9</v>
      </c>
      <c r="F21" s="15">
        <f>IF(A21&lt;&gt;"",INDEX('[3]01-数据'!$C$7:$ND$7,MATCH(A21,'[3]01-数据'!$C$1:$ND$1))," ")</f>
        <v>0.0708</v>
      </c>
      <c r="G21" s="11">
        <f>IF(A21&lt;&gt;"",INDEX('[3]01-数据'!$C$11:$ND$11,MATCH(A21,'[3]01-数据'!$C$1:$ND$1))," ")</f>
        <v>12.48</v>
      </c>
      <c r="H21" s="11">
        <f>IF(A21&lt;&gt;"",INDEX('[3]01-数据'!$C$14:$ND$14,MATCH(A21,'[3]01-数据'!$C$1:$ND$1))," ")</f>
        <v>9.62</v>
      </c>
    </row>
    <row r="22" spans="1:8">
      <c r="A22" s="10">
        <v>45645</v>
      </c>
      <c r="B22" s="11">
        <f>IF(A22&lt;&gt;"",INDEX('[3]01-数据'!$C$2:$ND$2,MATCH(A22,'[3]01-数据'!$C$1:$ND$1))," ")</f>
        <v>287.03</v>
      </c>
      <c r="C22" s="11">
        <f>IF(A22&lt;&gt;"",INDEX('[3]01-数据'!$C$3:$ND$3,MATCH(A22,'[3]01-数据'!$C$1:$ND$1))," ")</f>
        <v>5202.14</v>
      </c>
      <c r="D22" s="12">
        <f>IF(A22&lt;&gt;"",INDEX('[3]01-数据'!$C$4:$ND$4,MATCH(A22,'[3]01-数据'!$C$1:$ND$1))," ")</f>
        <v>0.0413</v>
      </c>
      <c r="E22" s="11">
        <f>IF(A22&lt;&gt;"",INDEX('[3]01-数据'!$C$6:$ND$6,MATCH(A22,'[3]01-数据'!$C$1:$ND$1))," ")</f>
        <v>92376.92</v>
      </c>
      <c r="F22" s="15">
        <f>IF(A22&lt;&gt;"",INDEX('[3]01-数据'!$C$7:$ND$7,MATCH(A22,'[3]01-数据'!$C$1:$ND$1))," ")</f>
        <v>0.0706</v>
      </c>
      <c r="G22" s="11">
        <f>IF(A22&lt;&gt;"",INDEX('[3]01-数据'!$C$11:$ND$11,MATCH(A22,'[3]01-数据'!$C$1:$ND$1))," ")</f>
        <v>12.75</v>
      </c>
      <c r="H22" s="11">
        <f>IF(A22&lt;&gt;"",INDEX('[3]01-数据'!$C$14:$ND$14,MATCH(A22,'[3]01-数据'!$C$1:$ND$1))," ")</f>
        <v>9.73</v>
      </c>
    </row>
    <row r="23" spans="1:8">
      <c r="A23" s="10">
        <v>45646</v>
      </c>
      <c r="B23" s="11">
        <f>IF(A23&lt;&gt;"",INDEX('[3]01-数据'!$C$2:$ND$2,MATCH(A23,'[3]01-数据'!$C$1:$ND$1))," ")</f>
        <v>285.98</v>
      </c>
      <c r="C23" s="11">
        <f>IF(A23&lt;&gt;"",INDEX('[3]01-数据'!$C$3:$ND$3,MATCH(A23,'[3]01-数据'!$C$1:$ND$1))," ")</f>
        <v>5488.12</v>
      </c>
      <c r="D23" s="12">
        <f>IF(A23&lt;&gt;"",INDEX('[3]01-数据'!$C$4:$ND$4,MATCH(A23,'[3]01-数据'!$C$1:$ND$1))," ")</f>
        <v>0.0379</v>
      </c>
      <c r="E23" s="11">
        <f>IF(A23&lt;&gt;"",INDEX('[3]01-数据'!$C$6:$ND$6,MATCH(A23,'[3]01-数据'!$C$1:$ND$1))," ")</f>
        <v>92662.9</v>
      </c>
      <c r="F23" s="15">
        <f>IF(A23&lt;&gt;"",INDEX('[3]01-数据'!$C$7:$ND$7,MATCH(A23,'[3]01-数据'!$C$1:$ND$1))," ")</f>
        <v>0.0703</v>
      </c>
      <c r="G23" s="11">
        <f>IF(A23&lt;&gt;"",INDEX('[3]01-数据'!$C$11:$ND$11,MATCH(A23,'[3]01-数据'!$C$1:$ND$1))," ")</f>
        <v>12.58</v>
      </c>
      <c r="H23" s="11">
        <f>IF(A23&lt;&gt;"",INDEX('[3]01-数据'!$C$14:$ND$14,MATCH(A23,'[3]01-数据'!$C$1:$ND$1))," ")</f>
        <v>9.78</v>
      </c>
    </row>
    <row r="24" s="1" customFormat="1" spans="1:8">
      <c r="A24" s="7">
        <v>45647</v>
      </c>
      <c r="B24" s="8">
        <f>IF(A24&lt;&gt;"",INDEX('[3]01-数据'!$C$2:$ND$2,MATCH(A24,'[3]01-数据'!$C$1:$ND$1))," ")</f>
        <v>284.15</v>
      </c>
      <c r="C24" s="8">
        <f>IF(A24&lt;&gt;"",INDEX('[3]01-数据'!$C$3:$ND$3,MATCH(A24,'[3]01-数据'!$C$1:$ND$1))," ")</f>
        <v>5772.26</v>
      </c>
      <c r="D24" s="9">
        <f>IF(A24&lt;&gt;"",INDEX('[3]01-数据'!$C$4:$ND$4,MATCH(A24,'[3]01-数据'!$C$1:$ND$1))," ")</f>
        <v>0.0335</v>
      </c>
      <c r="E24" s="8">
        <f>IF(A24&lt;&gt;"",INDEX('[3]01-数据'!$C$6:$ND$6,MATCH(A24,'[3]01-数据'!$C$1:$ND$1))," ")</f>
        <v>92947.05</v>
      </c>
      <c r="F24" s="14">
        <f>IF(A24&lt;&gt;"",INDEX('[3]01-数据'!$C$7:$ND$7,MATCH(A24,'[3]01-数据'!$C$1:$ND$1))," ")</f>
        <v>0.0699</v>
      </c>
      <c r="G24" s="8">
        <f>IF(A24&lt;&gt;"",INDEX('[3]01-数据'!$C$11:$ND$11,MATCH(A24,'[3]01-数据'!$C$1:$ND$1))," ")</f>
        <v>12.45</v>
      </c>
      <c r="H24" s="8">
        <f>IF(A24&lt;&gt;"",INDEX('[3]01-数据'!$C$14:$ND$14,MATCH(A24,'[3]01-数据'!$C$1:$ND$1))," ")</f>
        <v>9.78</v>
      </c>
    </row>
    <row r="25" s="1" customFormat="1" spans="1:8">
      <c r="A25" s="7">
        <v>45648</v>
      </c>
      <c r="B25" s="8">
        <f>IF(A25&lt;&gt;"",INDEX('[3]01-数据'!$C$2:$ND$2,MATCH(A25,'[3]01-数据'!$C$1:$ND$1))," ")</f>
        <v>281.72</v>
      </c>
      <c r="C25" s="8">
        <f>IF(A25&lt;&gt;"",INDEX('[3]01-数据'!$C$3:$ND$3,MATCH(A25,'[3]01-数据'!$C$1:$ND$1))," ")</f>
        <v>6053.99</v>
      </c>
      <c r="D25" s="9">
        <f>IF(A25&lt;&gt;"",INDEX('[3]01-数据'!$C$4:$ND$4,MATCH(A25,'[3]01-数据'!$C$1:$ND$1))," ")</f>
        <v>0.0291</v>
      </c>
      <c r="E25" s="8">
        <f>IF(A25&lt;&gt;"",INDEX('[3]01-数据'!$C$6:$ND$6,MATCH(A25,'[3]01-数据'!$C$1:$ND$1))," ")</f>
        <v>93228.77</v>
      </c>
      <c r="F25" s="14">
        <f>IF(A25&lt;&gt;"",INDEX('[3]01-数据'!$C$7:$ND$7,MATCH(A25,'[3]01-数据'!$C$1:$ND$1))," ")</f>
        <v>0.0695</v>
      </c>
      <c r="G25" s="8">
        <f>IF(A25&lt;&gt;"",INDEX('[3]01-数据'!$C$11:$ND$11,MATCH(A25,'[3]01-数据'!$C$1:$ND$1))," ")</f>
        <v>12.47</v>
      </c>
      <c r="H25" s="8">
        <f>IF(A25&lt;&gt;"",INDEX('[3]01-数据'!$C$14:$ND$14,MATCH(A25,'[3]01-数据'!$C$1:$ND$1))," ")</f>
        <v>9.74</v>
      </c>
    </row>
    <row r="26" s="2" customFormat="1" spans="1:8">
      <c r="A26" s="10">
        <v>45649</v>
      </c>
      <c r="B26" s="11">
        <f>IF(A26&lt;&gt;"",INDEX('[3]01-数据'!$C$2:$ND$2,MATCH(A26,'[3]01-数据'!$C$1:$ND$1))," ")</f>
        <v>287.9</v>
      </c>
      <c r="C26" s="11">
        <f>IF(A26&lt;&gt;"",INDEX('[3]01-数据'!$C$3:$ND$3,MATCH(A26,'[3]01-数据'!$C$1:$ND$1))," ")</f>
        <v>6341.89</v>
      </c>
      <c r="D26" s="12">
        <f>IF(A26&lt;&gt;"",INDEX('[3]01-数据'!$C$4:$ND$4,MATCH(A26,'[3]01-数据'!$C$1:$ND$1))," ")</f>
        <v>0.0273</v>
      </c>
      <c r="E26" s="11">
        <f>IF(A26&lt;&gt;"",INDEX('[3]01-数据'!$C$6:$ND$6,MATCH(A26,'[3]01-数据'!$C$1:$ND$1))," ")</f>
        <v>93516.67</v>
      </c>
      <c r="F26" s="15">
        <f>IF(A26&lt;&gt;"",INDEX('[3]01-数据'!$C$7:$ND$7,MATCH(A26,'[3]01-数据'!$C$1:$ND$1))," ")</f>
        <v>0.0692</v>
      </c>
      <c r="G26" s="11">
        <f>IF(A26&lt;&gt;"",INDEX('[3]01-数据'!$C$11:$ND$11,MATCH(A26,'[3]01-数据'!$C$1:$ND$1))," ")</f>
        <v>12.87</v>
      </c>
      <c r="H26" s="11">
        <f>IF(A26&lt;&gt;"",INDEX('[3]01-数据'!$C$14:$ND$14,MATCH(A26,'[3]01-数据'!$C$1:$ND$1))," ")</f>
        <v>9.58</v>
      </c>
    </row>
    <row r="27" s="2" customFormat="1" spans="1:8">
      <c r="A27" s="10">
        <v>45650</v>
      </c>
      <c r="B27" s="11">
        <f>IF(A27&lt;&gt;"",INDEX('[3]01-数据'!$C$2:$ND$2,MATCH(A27,'[3]01-数据'!$C$1:$ND$1))," ")</f>
        <v>286.83</v>
      </c>
      <c r="C27" s="11">
        <f>IF(A27&lt;&gt;"",INDEX('[3]01-数据'!$C$3:$ND$3,MATCH(A27,'[3]01-数据'!$C$1:$ND$1))," ")</f>
        <v>6628.72</v>
      </c>
      <c r="D27" s="12">
        <f>IF(A27&lt;&gt;"",INDEX('[3]01-数据'!$C$4:$ND$4,MATCH(A27,'[3]01-数据'!$C$1:$ND$1))," ")</f>
        <v>0.027</v>
      </c>
      <c r="E27" s="11">
        <f>IF(A27&lt;&gt;"",INDEX('[3]01-数据'!$C$6:$ND$6,MATCH(A27,'[3]01-数据'!$C$1:$ND$1))," ")</f>
        <v>93803.5</v>
      </c>
      <c r="F27" s="15">
        <f>IF(A27&lt;&gt;"",INDEX('[3]01-数据'!$C$7:$ND$7,MATCH(A27,'[3]01-数据'!$C$1:$ND$1))," ")</f>
        <v>0.069</v>
      </c>
      <c r="G27" s="11">
        <f>IF(A27&lt;&gt;"",INDEX('[3]01-数据'!$C$11:$ND$11,MATCH(A27,'[3]01-数据'!$C$1:$ND$1))," ")</f>
        <v>12.7</v>
      </c>
      <c r="H27" s="11">
        <f>IF(A27&lt;&gt;"",INDEX('[3]01-数据'!$C$14:$ND$14,MATCH(A27,'[3]01-数据'!$C$1:$ND$1))," ")</f>
        <v>9.78</v>
      </c>
    </row>
    <row r="28" spans="1:8">
      <c r="A28" s="10">
        <v>45651</v>
      </c>
      <c r="B28" s="11">
        <f>IF(A28&lt;&gt;"",INDEX('[3]01-数据'!$C$2:$ND$2,MATCH(A28,'[3]01-数据'!$C$1:$ND$1))," ")</f>
        <v>286.05</v>
      </c>
      <c r="C28" s="11">
        <f>IF(A28&lt;&gt;"",INDEX('[3]01-数据'!$C$3:$ND$3,MATCH(A28,'[3]01-数据'!$C$1:$ND$1))," ")</f>
        <v>6914.76</v>
      </c>
      <c r="D28" s="12">
        <f>IF(A28&lt;&gt;"",INDEX('[3]01-数据'!$C$4:$ND$4,MATCH(A28,'[3]01-数据'!$C$1:$ND$1))," ")</f>
        <v>0.0263</v>
      </c>
      <c r="E28" s="11">
        <f>IF(A28&lt;&gt;"",INDEX('[3]01-数据'!$C$6:$ND$6,MATCH(A28,'[3]01-数据'!$C$1:$ND$1))," ")</f>
        <v>94089.55</v>
      </c>
      <c r="F28" s="15">
        <f>IF(A28&lt;&gt;"",INDEX('[3]01-数据'!$C$7:$ND$7,MATCH(A28,'[3]01-数据'!$C$1:$ND$1))," ")</f>
        <v>0.0689</v>
      </c>
      <c r="G28" s="11">
        <f>IF(A28&lt;&gt;"",INDEX('[3]01-数据'!$C$11:$ND$11,MATCH(A28,'[3]01-数据'!$C$1:$ND$1))," ")</f>
        <v>12.66</v>
      </c>
      <c r="H28" s="11">
        <f>IF(A28&lt;&gt;"",INDEX('[3]01-数据'!$C$14:$ND$14,MATCH(A28,'[3]01-数据'!$C$1:$ND$1))," ")</f>
        <v>9.67</v>
      </c>
    </row>
    <row r="29" spans="1:8">
      <c r="A29" s="10">
        <v>45652</v>
      </c>
      <c r="B29" s="11">
        <f>IF(A29&lt;&gt;"",INDEX('[3]01-数据'!$C$2:$ND$2,MATCH(A29,'[3]01-数据'!$C$1:$ND$1))," ")</f>
        <v>284.86</v>
      </c>
      <c r="C29" s="11">
        <f>IF(A29&lt;&gt;"",INDEX('[3]01-数据'!$C$3:$ND$3,MATCH(A29,'[3]01-数据'!$C$1:$ND$1))," ")</f>
        <v>7199.63</v>
      </c>
      <c r="D29" s="12">
        <f>IF(A29&lt;&gt;"",INDEX('[3]01-数据'!$C$4:$ND$4,MATCH(A29,'[3]01-数据'!$C$1:$ND$1))," ")</f>
        <v>0.0261</v>
      </c>
      <c r="E29" s="11">
        <f>IF(A29&lt;&gt;"",INDEX('[3]01-数据'!$C$6:$ND$6,MATCH(A29,'[3]01-数据'!$C$1:$ND$1))," ")</f>
        <v>94374.41</v>
      </c>
      <c r="F29" s="15">
        <f>IF(A29&lt;&gt;"",INDEX('[3]01-数据'!$C$7:$ND$7,MATCH(A29,'[3]01-数据'!$C$1:$ND$1))," ")</f>
        <v>0.0687</v>
      </c>
      <c r="G29" s="11">
        <f>IF(A29&lt;&gt;"",INDEX('[3]01-数据'!$C$11:$ND$11,MATCH(A29,'[3]01-数据'!$C$1:$ND$1))," ")</f>
        <v>12.58</v>
      </c>
      <c r="H29" s="11">
        <f>IF(A29&lt;&gt;"",INDEX('[3]01-数据'!$C$14:$ND$14,MATCH(A29,'[3]01-数据'!$C$1:$ND$1))," ")</f>
        <v>9.67</v>
      </c>
    </row>
    <row r="30" spans="1:8">
      <c r="A30" s="10">
        <v>45653</v>
      </c>
      <c r="B30" s="11">
        <f>IF(A30&lt;&gt;"",INDEX('[3]01-数据'!$C$2:$ND$2,MATCH(A30,'[3]01-数据'!$C$1:$ND$1))," ")</f>
        <v>285.92</v>
      </c>
      <c r="C30" s="11">
        <f>IF(A30&lt;&gt;"",INDEX('[3]01-数据'!$C$3:$ND$3,MATCH(A30,'[3]01-数据'!$C$1:$ND$1))," ")</f>
        <v>7485.55</v>
      </c>
      <c r="D30" s="12">
        <f>IF(A30&lt;&gt;"",INDEX('[3]01-数据'!$C$4:$ND$4,MATCH(A30,'[3]01-数据'!$C$1:$ND$1))," ")</f>
        <v>0.0265</v>
      </c>
      <c r="E30" s="11">
        <f>IF(A30&lt;&gt;"",INDEX('[3]01-数据'!$C$6:$ND$6,MATCH(A30,'[3]01-数据'!$C$1:$ND$1))," ")</f>
        <v>94660.33</v>
      </c>
      <c r="F30" s="15">
        <f>IF(A30&lt;&gt;"",INDEX('[3]01-数据'!$C$7:$ND$7,MATCH(A30,'[3]01-数据'!$C$1:$ND$1))," ")</f>
        <v>0.0686</v>
      </c>
      <c r="G30" s="11">
        <f>IF(A30&lt;&gt;"",INDEX('[3]01-数据'!$C$11:$ND$11,MATCH(A30,'[3]01-数据'!$C$1:$ND$1))," ")</f>
        <v>12.64</v>
      </c>
      <c r="H30" s="11">
        <f>IF(A30&lt;&gt;"",INDEX('[3]01-数据'!$C$14:$ND$14,MATCH(A30,'[3]01-数据'!$C$1:$ND$1))," ")</f>
        <v>9.67</v>
      </c>
    </row>
    <row r="31" s="1" customFormat="1" spans="1:8">
      <c r="A31" s="7">
        <v>45654</v>
      </c>
      <c r="B31" s="8">
        <f>IF(A31&lt;&gt;"",INDEX('[3]01-数据'!$C$2:$ND$2,MATCH(A31,'[3]01-数据'!$C$1:$ND$1))," ")</f>
        <v>282.61</v>
      </c>
      <c r="C31" s="8">
        <f>IF(A31&lt;&gt;"",INDEX('[3]01-数据'!$C$3:$ND$3,MATCH(A31,'[3]01-数据'!$C$1:$ND$1))," ")</f>
        <v>7768.16</v>
      </c>
      <c r="D31" s="9">
        <f>IF(A31&lt;&gt;"",INDEX('[3]01-数据'!$C$4:$ND$4,MATCH(A31,'[3]01-数据'!$C$1:$ND$1))," ")</f>
        <v>0.0207</v>
      </c>
      <c r="E31" s="8">
        <f>IF(A31&lt;&gt;"",INDEX('[3]01-数据'!$C$6:$ND$6,MATCH(A31,'[3]01-数据'!$C$1:$ND$1))," ")</f>
        <v>94942.94</v>
      </c>
      <c r="F31" s="14">
        <f>IF(A31&lt;&gt;"",INDEX('[3]01-数据'!$C$7:$ND$7,MATCH(A31,'[3]01-数据'!$C$1:$ND$1))," ")</f>
        <v>0.0685</v>
      </c>
      <c r="G31" s="8">
        <f>IF(A31&lt;&gt;"",INDEX('[3]01-数据'!$C$11:$ND$11,MATCH(A31,'[3]01-数据'!$C$1:$ND$1))," ")</f>
        <v>12.42</v>
      </c>
      <c r="H31" s="8">
        <f>IF(A31&lt;&gt;"",INDEX('[3]01-数据'!$C$14:$ND$14,MATCH(A31,'[3]01-数据'!$C$1:$ND$1))," ")</f>
        <v>9.74</v>
      </c>
    </row>
    <row r="32" s="1" customFormat="1" spans="1:8">
      <c r="A32" s="7">
        <v>45655</v>
      </c>
      <c r="B32" s="8">
        <f>IF(A32&lt;&gt;"",INDEX('[3]01-数据'!$C$2:$ND$2,MATCH(A32,'[3]01-数据'!$C$1:$ND$1))," ")</f>
        <v>277.96</v>
      </c>
      <c r="C32" s="8">
        <f>IF(A32&lt;&gt;"",INDEX('[3]01-数据'!$C$3:$ND$3,MATCH(A32,'[3]01-数据'!$C$1:$ND$1))," ")</f>
        <v>8046.12</v>
      </c>
      <c r="D32" s="9">
        <f>IF(A32&lt;&gt;"",INDEX('[3]01-数据'!$C$4:$ND$4,MATCH(A32,'[3]01-数据'!$C$1:$ND$1))," ")</f>
        <v>0.0272</v>
      </c>
      <c r="E32" s="8">
        <f>IF(A32&lt;&gt;"",INDEX('[3]01-数据'!$C$6:$ND$6,MATCH(A32,'[3]01-数据'!$C$1:$ND$1))," ")</f>
        <v>95220.9</v>
      </c>
      <c r="F32" s="14">
        <f>IF(A32&lt;&gt;"",INDEX('[3]01-数据'!$C$7:$ND$7,MATCH(A32,'[3]01-数据'!$C$1:$ND$1))," ")</f>
        <v>0.0684</v>
      </c>
      <c r="G32" s="8">
        <f>IF(A32&lt;&gt;"",INDEX('[3]01-数据'!$C$11:$ND$11,MATCH(A32,'[3]01-数据'!$C$1:$ND$1))," ")</f>
        <v>12.19</v>
      </c>
      <c r="H32" s="8">
        <f>IF(A32&lt;&gt;"",INDEX('[3]01-数据'!$C$14:$ND$14,MATCH(A32,'[3]01-数据'!$C$1:$ND$1))," ")</f>
        <v>9.67</v>
      </c>
    </row>
    <row r="33" s="2" customFormat="1" spans="1:8">
      <c r="A33" s="10">
        <v>45656</v>
      </c>
      <c r="B33" s="11">
        <f>IF(A33&lt;&gt;"",INDEX('[3]01-数据'!$C$2:$ND$2,MATCH(A33,'[3]01-数据'!$C$1:$ND$1))," ")</f>
        <v>280.3</v>
      </c>
      <c r="C33" s="11">
        <f>IF(A33&lt;&gt;"",INDEX('[3]01-数据'!$C$3:$ND$3,MATCH(A33,'[3]01-数据'!$C$1:$ND$1))," ")</f>
        <v>8326.43</v>
      </c>
      <c r="D33" s="12">
        <f>IF(A33&lt;&gt;"",INDEX('[3]01-数据'!$C$4:$ND$4,MATCH(A33,'[3]01-数据'!$C$1:$ND$1))," ")</f>
        <v>0.0291</v>
      </c>
      <c r="E33" s="11">
        <f>IF(A33&lt;&gt;"",INDEX('[3]01-数据'!$C$6:$ND$6,MATCH(A33,'[3]01-数据'!$C$1:$ND$1))," ")</f>
        <v>95501.21</v>
      </c>
      <c r="F33" s="15">
        <f>IF(A33&lt;&gt;"",INDEX('[3]01-数据'!$C$7:$ND$7,MATCH(A33,'[3]01-数据'!$C$1:$ND$1))," ")</f>
        <v>0.0685</v>
      </c>
      <c r="G33" s="11">
        <f>IF(A33&lt;&gt;"",INDEX('[3]01-数据'!$C$11:$ND$11,MATCH(A33,'[3]01-数据'!$C$1:$ND$1))," ")</f>
        <v>12.45</v>
      </c>
      <c r="H33" s="11">
        <f>IF(A33&lt;&gt;"",INDEX('[3]01-数据'!$C$14:$ND$14,MATCH(A33,'[3]01-数据'!$C$1:$ND$1))," ")</f>
        <v>9.47</v>
      </c>
    </row>
    <row r="34" spans="1:8">
      <c r="A34" s="10">
        <v>45657</v>
      </c>
      <c r="B34" s="11">
        <f>IF(A34&lt;&gt;"",INDEX('[3]01-数据'!$C$2:$ND$2,MATCH(A34,'[3]01-数据'!$C$1:$ND$1))," ")</f>
        <v>274.26</v>
      </c>
      <c r="C34" s="11">
        <f>IF(A34&lt;&gt;"",INDEX('[3]01-数据'!$C$3:$ND$3,MATCH(A34,'[3]01-数据'!$C$1:$ND$1))," ")</f>
        <v>8600.68</v>
      </c>
      <c r="D34" s="12">
        <f>IF(A34&lt;&gt;"",INDEX('[3]01-数据'!$C$4:$ND$4,MATCH(A34,'[3]01-数据'!$C$1:$ND$1))," ")</f>
        <v>0.0311</v>
      </c>
      <c r="E34" s="11">
        <f>IF(A34&lt;&gt;"",INDEX('[3]01-数据'!$C$6:$ND$6,MATCH(A34,'[3]01-数据'!$C$1:$ND$1))," ")</f>
        <v>95775.46</v>
      </c>
      <c r="F34" s="15">
        <f>IF(A34&lt;&gt;"",INDEX('[3]01-数据'!$C$7:$ND$7,MATCH(A34,'[3]01-数据'!$C$1:$ND$1))," ")</f>
        <v>0.0685</v>
      </c>
      <c r="G34" s="11">
        <f>IF(A34&lt;&gt;"",INDEX('[3]01-数据'!$C$11:$ND$11,MATCH(A34,'[3]01-数据'!$C$1:$ND$1))," ")</f>
        <v>12.13</v>
      </c>
      <c r="H34" s="11">
        <f>IF(A34&lt;&gt;"",INDEX('[3]01-数据'!$C$14:$ND$14,MATCH(A34,'[3]01-数据'!$C$1:$ND$1))," ")</f>
        <v>9.47</v>
      </c>
    </row>
    <row r="35" spans="1:8">
      <c r="A35" s="13" t="s">
        <v>11</v>
      </c>
      <c r="B35" s="13"/>
      <c r="C35" s="13"/>
      <c r="D35" s="13"/>
      <c r="E35" s="13"/>
      <c r="F35" s="13"/>
      <c r="G35" s="16"/>
      <c r="H35" s="16"/>
    </row>
  </sheetData>
  <mergeCells count="2">
    <mergeCell ref="A1:H1"/>
    <mergeCell ref="A2:H2"/>
  </mergeCells>
  <pageMargins left="0.75" right="0.75" top="1" bottom="1" header="0.511805555555556" footer="0.511805555555556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张建府</dc:creator>
  <cp:lastModifiedBy>user</cp:lastModifiedBy>
  <dcterms:created xsi:type="dcterms:W3CDTF">2019-07-20T08:34:00Z</dcterms:created>
  <cp:lastPrinted>2020-10-02T09:31:00Z</cp:lastPrinted>
  <dcterms:modified xsi:type="dcterms:W3CDTF">2025-01-02T08:15:55Z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2052-11.8.2.12333</vt:lpwstr>
  </property>
  <property fmtid="{D5CDD505-2E9C-101B-9397-08002B2CF9AE}" pid="3" name="KSOReadingLayout">
    <vt:bool>true</vt:bool>
  </property>
  <property fmtid="{D5CDD505-2E9C-101B-9397-08002B2CF9AE}" pid="4" name="ICV">
    <vt:lpwstr>4391768B932943E9BBDA7567F29A2906</vt:lpwstr>
  </property>
</Properties>
</file>