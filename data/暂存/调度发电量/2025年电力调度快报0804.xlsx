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 activeTab="7"/>
  </bookViews>
  <sheets>
    <sheet name="1月" sheetId="13" r:id="rId1"/>
    <sheet name="2月" sheetId="14" r:id="rId2"/>
    <sheet name="3月" sheetId="16" r:id="rId3"/>
    <sheet name="4月" sheetId="17" r:id="rId4"/>
    <sheet name="5月" sheetId="18" r:id="rId5"/>
    <sheet name="6月" sheetId="19" r:id="rId6"/>
    <sheet name="7月" sheetId="15" r:id="rId7"/>
    <sheet name="8月" sheetId="21" r:id="rId8"/>
    <sheet name="9月" sheetId="22" r:id="rId9"/>
    <sheet name="10月" sheetId="23" r:id="rId10"/>
    <sheet name="11月" sheetId="11" r:id="rId11"/>
    <sheet name="12月" sheetId="12" r:id="rId12"/>
  </sheets>
  <externalReferences>
    <externalReference r:id="rId13"/>
  </externalReferences>
  <definedNames>
    <definedName name="_xlnm.Print_Area" localSheetId="10">'11月'!$A$1:$H$34</definedName>
  </definedNames>
  <calcPr calcId="144525"/>
</workbook>
</file>

<file path=xl/sharedStrings.xml><?xml version="1.0" encoding="utf-8"?>
<sst xmlns="http://schemas.openxmlformats.org/spreadsheetml/2006/main" count="134" uniqueCount="23">
  <si>
    <t>2025年1月每日调度快报</t>
  </si>
  <si>
    <t>单位：亿千瓦时 %</t>
  </si>
  <si>
    <t>日期</t>
  </si>
  <si>
    <t>日发电量</t>
  </si>
  <si>
    <t>月累计发电量</t>
  </si>
  <si>
    <t>同比</t>
  </si>
  <si>
    <t>年累计发电量</t>
  </si>
  <si>
    <t>最高负荷</t>
  </si>
  <si>
    <t>最低负荷</t>
  </si>
  <si>
    <t>数据来源：国家电力调度控制中心</t>
  </si>
  <si>
    <t>2025年2月每日调度快报</t>
  </si>
  <si>
    <t>月同比</t>
  </si>
  <si>
    <t>年累计同比</t>
  </si>
  <si>
    <t>2025年3月每日调度快报</t>
  </si>
  <si>
    <t>2025年4月每日调度快报</t>
  </si>
  <si>
    <t>2025年5月每日调度快报</t>
  </si>
  <si>
    <t>2025年6月每日调度快报</t>
  </si>
  <si>
    <t>2025年7月每日调度快报</t>
  </si>
  <si>
    <t>2025年8月每日调度快报</t>
  </si>
  <si>
    <t>2025年9月每日调度快报</t>
  </si>
  <si>
    <t>2025年10月每日调度快报</t>
  </si>
  <si>
    <t>2025年11月每日调度快报</t>
  </si>
  <si>
    <t>2025年12月每日调度快报</t>
  </si>
</sst>
</file>

<file path=xl/styles.xml><?xml version="1.0" encoding="utf-8"?>
<styleSheet xmlns="http://schemas.openxmlformats.org/spreadsheetml/2006/main">
  <numFmts count="7">
    <numFmt numFmtId="176" formatCode="m/d;@"/>
    <numFmt numFmtId="177" formatCode="m/d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8" formatCode="0.00_ "/>
    <numFmt numFmtId="42" formatCode="_ &quot;￥&quot;* #,##0_ ;_ &quot;￥&quot;* \-#,##0_ ;_ &quot;￥&quot;* &quot;-&quot;_ ;_ @_ "/>
  </numFmts>
  <fonts count="23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33" borderId="10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4" fillId="27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2" borderId="0" xfId="0" applyFill="1"/>
    <xf numFmtId="0" fontId="0" fillId="0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 vertical="center"/>
    </xf>
    <xf numFmtId="10" fontId="0" fillId="2" borderId="1" xfId="0" applyNumberFormat="1" applyFont="1" applyFill="1" applyBorder="1" applyAlignment="1" applyProtection="1">
      <alignment horizontal="center" vertical="center"/>
    </xf>
    <xf numFmtId="14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 applyProtection="1">
      <alignment horizontal="center" vertical="center"/>
    </xf>
    <xf numFmtId="0" fontId="0" fillId="3" borderId="2" xfId="0" applyFill="1" applyBorder="1" applyAlignment="1">
      <alignment vertical="center"/>
    </xf>
    <xf numFmtId="10" fontId="0" fillId="2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0" fillId="3" borderId="0" xfId="0" applyFill="1" applyAlignment="1"/>
    <xf numFmtId="58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178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77" fontId="0" fillId="0" borderId="1" xfId="0" applyNumberFormat="1" applyFont="1" applyFill="1" applyBorder="1" applyAlignment="1">
      <alignment horizontal="center"/>
    </xf>
    <xf numFmtId="177" fontId="0" fillId="2" borderId="1" xfId="0" applyNumberFormat="1" applyFont="1" applyFill="1" applyBorder="1" applyAlignment="1">
      <alignment horizontal="center"/>
    </xf>
    <xf numFmtId="176" fontId="0" fillId="2" borderId="1" xfId="0" applyNumberFormat="1" applyFont="1" applyFill="1" applyBorder="1" applyAlignment="1">
      <alignment horizontal="center"/>
    </xf>
    <xf numFmtId="176" fontId="0" fillId="0" borderId="1" xfId="0" applyNumberFormat="1" applyFont="1" applyFill="1" applyBorder="1" applyAlignment="1">
      <alignment horizontal="center"/>
    </xf>
    <xf numFmtId="58" fontId="0" fillId="0" borderId="0" xfId="0" applyNumberFormat="1" applyFill="1"/>
    <xf numFmtId="10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/>
    <xf numFmtId="10" fontId="0" fillId="0" borderId="0" xfId="0" applyNumberFormat="1"/>
    <xf numFmtId="10" fontId="1" fillId="3" borderId="0" xfId="0" applyNumberFormat="1" applyFont="1" applyFill="1" applyAlignment="1">
      <alignment horizontal="center" vertical="center"/>
    </xf>
    <xf numFmtId="10" fontId="0" fillId="3" borderId="0" xfId="0" applyNumberForma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/>
    </xf>
    <xf numFmtId="58" fontId="0" fillId="2" borderId="0" xfId="0" applyNumberFormat="1" applyFill="1"/>
    <xf numFmtId="178" fontId="0" fillId="0" borderId="0" xfId="0" applyNumberForma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24180;&#20445;&#20379;&#26085;&#25253;&#25968;&#25454;&#65288;&#21547;&#36127;&#33655;&#21019;&#26032;&#39640;&#24773;&#20917;&#26356;&#26032;&#33267;080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1-数据"/>
      <sheetName val="02-2025年负荷创新高次数统计"/>
      <sheetName val="03-各类趋势线"/>
      <sheetName val="04-数据分析"/>
    </sheetNames>
    <sheetDataSet>
      <sheetData sheetId="0">
        <row r="1">
          <cell r="C1">
            <v>45292</v>
          </cell>
          <cell r="D1">
            <v>45293</v>
          </cell>
          <cell r="E1">
            <v>45294</v>
          </cell>
          <cell r="F1">
            <v>45295</v>
          </cell>
          <cell r="G1">
            <v>45296</v>
          </cell>
          <cell r="H1">
            <v>45297</v>
          </cell>
          <cell r="I1">
            <v>45298</v>
          </cell>
          <cell r="J1">
            <v>45299</v>
          </cell>
          <cell r="K1">
            <v>45300</v>
          </cell>
          <cell r="L1">
            <v>45301</v>
          </cell>
          <cell r="M1">
            <v>45302</v>
          </cell>
          <cell r="N1">
            <v>45303</v>
          </cell>
          <cell r="O1">
            <v>45304</v>
          </cell>
          <cell r="P1">
            <v>45305</v>
          </cell>
          <cell r="Q1">
            <v>45306</v>
          </cell>
          <cell r="R1">
            <v>45307</v>
          </cell>
          <cell r="S1">
            <v>45308</v>
          </cell>
          <cell r="T1">
            <v>45309</v>
          </cell>
          <cell r="U1">
            <v>45310</v>
          </cell>
          <cell r="V1">
            <v>45311</v>
          </cell>
          <cell r="W1">
            <v>45312</v>
          </cell>
          <cell r="X1">
            <v>45313</v>
          </cell>
          <cell r="Y1">
            <v>45314</v>
          </cell>
          <cell r="Z1">
            <v>45315</v>
          </cell>
          <cell r="AA1">
            <v>45316</v>
          </cell>
          <cell r="AB1">
            <v>45317</v>
          </cell>
          <cell r="AC1">
            <v>45318</v>
          </cell>
          <cell r="AD1">
            <v>45319</v>
          </cell>
          <cell r="AE1">
            <v>45320</v>
          </cell>
          <cell r="AF1">
            <v>45321</v>
          </cell>
          <cell r="AG1">
            <v>45322</v>
          </cell>
          <cell r="AH1">
            <v>45323</v>
          </cell>
          <cell r="AI1">
            <v>45324</v>
          </cell>
          <cell r="AJ1">
            <v>45325</v>
          </cell>
          <cell r="AK1">
            <v>45326</v>
          </cell>
          <cell r="AL1">
            <v>45327</v>
          </cell>
          <cell r="AM1">
            <v>45328</v>
          </cell>
          <cell r="AN1">
            <v>45329</v>
          </cell>
          <cell r="AO1">
            <v>45330</v>
          </cell>
          <cell r="AP1">
            <v>45331</v>
          </cell>
          <cell r="AQ1">
            <v>45332</v>
          </cell>
          <cell r="AR1">
            <v>45333</v>
          </cell>
          <cell r="AS1">
            <v>45334</v>
          </cell>
          <cell r="AT1">
            <v>45335</v>
          </cell>
          <cell r="AU1">
            <v>45336</v>
          </cell>
          <cell r="AV1">
            <v>45337</v>
          </cell>
          <cell r="AW1">
            <v>45338</v>
          </cell>
          <cell r="AX1">
            <v>45339</v>
          </cell>
          <cell r="AY1">
            <v>45340</v>
          </cell>
          <cell r="AZ1">
            <v>45341</v>
          </cell>
          <cell r="BA1">
            <v>45342</v>
          </cell>
          <cell r="BB1">
            <v>45343</v>
          </cell>
          <cell r="BC1">
            <v>45344</v>
          </cell>
          <cell r="BD1">
            <v>45345</v>
          </cell>
          <cell r="BE1">
            <v>45346</v>
          </cell>
          <cell r="BF1">
            <v>45347</v>
          </cell>
          <cell r="BG1">
            <v>45348</v>
          </cell>
          <cell r="BH1">
            <v>45349</v>
          </cell>
          <cell r="BI1">
            <v>45350</v>
          </cell>
          <cell r="BJ1">
            <v>45352</v>
          </cell>
          <cell r="BK1">
            <v>45353</v>
          </cell>
          <cell r="BL1">
            <v>45354</v>
          </cell>
          <cell r="BM1">
            <v>45355</v>
          </cell>
          <cell r="BN1">
            <v>45356</v>
          </cell>
          <cell r="BO1">
            <v>45357</v>
          </cell>
          <cell r="BP1">
            <v>45358</v>
          </cell>
          <cell r="BQ1">
            <v>45359</v>
          </cell>
          <cell r="BR1">
            <v>45360</v>
          </cell>
          <cell r="BS1">
            <v>45361</v>
          </cell>
          <cell r="BT1">
            <v>45362</v>
          </cell>
          <cell r="BU1">
            <v>45363</v>
          </cell>
          <cell r="BV1">
            <v>45364</v>
          </cell>
          <cell r="BW1">
            <v>45365</v>
          </cell>
          <cell r="BX1">
            <v>45366</v>
          </cell>
          <cell r="BY1">
            <v>45367</v>
          </cell>
          <cell r="BZ1">
            <v>45368</v>
          </cell>
          <cell r="CA1">
            <v>45369</v>
          </cell>
          <cell r="CB1">
            <v>45370</v>
          </cell>
          <cell r="CC1">
            <v>45371</v>
          </cell>
          <cell r="CD1">
            <v>45372</v>
          </cell>
          <cell r="CE1">
            <v>45373</v>
          </cell>
          <cell r="CF1">
            <v>45374</v>
          </cell>
          <cell r="CG1">
            <v>45375</v>
          </cell>
          <cell r="CH1">
            <v>45376</v>
          </cell>
          <cell r="CI1">
            <v>45377</v>
          </cell>
          <cell r="CJ1">
            <v>45378</v>
          </cell>
          <cell r="CK1">
            <v>45379</v>
          </cell>
          <cell r="CL1">
            <v>45380</v>
          </cell>
          <cell r="CM1">
            <v>45381</v>
          </cell>
          <cell r="CN1">
            <v>45382</v>
          </cell>
          <cell r="CO1">
            <v>45383</v>
          </cell>
          <cell r="CP1">
            <v>45384</v>
          </cell>
          <cell r="CQ1">
            <v>45385</v>
          </cell>
          <cell r="CR1">
            <v>45386</v>
          </cell>
          <cell r="CS1">
            <v>45387</v>
          </cell>
          <cell r="CT1">
            <v>45388</v>
          </cell>
          <cell r="CU1">
            <v>45389</v>
          </cell>
          <cell r="CV1">
            <v>45390</v>
          </cell>
          <cell r="CW1">
            <v>45391</v>
          </cell>
          <cell r="CX1">
            <v>45392</v>
          </cell>
          <cell r="CY1">
            <v>45393</v>
          </cell>
          <cell r="CZ1">
            <v>45394</v>
          </cell>
          <cell r="DA1">
            <v>45395</v>
          </cell>
          <cell r="DB1">
            <v>45396</v>
          </cell>
          <cell r="DC1">
            <v>45397</v>
          </cell>
          <cell r="DD1">
            <v>45398</v>
          </cell>
          <cell r="DE1">
            <v>45399</v>
          </cell>
          <cell r="DF1">
            <v>45400</v>
          </cell>
          <cell r="DG1">
            <v>45401</v>
          </cell>
          <cell r="DH1">
            <v>45402</v>
          </cell>
          <cell r="DI1">
            <v>45403</v>
          </cell>
          <cell r="DJ1">
            <v>45404</v>
          </cell>
          <cell r="DK1">
            <v>45405</v>
          </cell>
          <cell r="DL1">
            <v>45406</v>
          </cell>
          <cell r="DM1">
            <v>45407</v>
          </cell>
          <cell r="DN1">
            <v>45408</v>
          </cell>
          <cell r="DO1">
            <v>45409</v>
          </cell>
          <cell r="DP1">
            <v>45410</v>
          </cell>
          <cell r="DQ1">
            <v>45411</v>
          </cell>
          <cell r="DR1">
            <v>45412</v>
          </cell>
          <cell r="DS1">
            <v>45413</v>
          </cell>
          <cell r="DT1">
            <v>45414</v>
          </cell>
          <cell r="DU1">
            <v>45415</v>
          </cell>
          <cell r="DV1">
            <v>45416</v>
          </cell>
          <cell r="DW1">
            <v>45417</v>
          </cell>
          <cell r="DX1">
            <v>45418</v>
          </cell>
          <cell r="DY1">
            <v>45419</v>
          </cell>
          <cell r="DZ1">
            <v>45420</v>
          </cell>
          <cell r="EA1">
            <v>45421</v>
          </cell>
          <cell r="EB1">
            <v>45422</v>
          </cell>
          <cell r="EC1">
            <v>45423</v>
          </cell>
          <cell r="ED1">
            <v>45424</v>
          </cell>
          <cell r="EE1">
            <v>45425</v>
          </cell>
          <cell r="EF1">
            <v>45426</v>
          </cell>
          <cell r="EG1">
            <v>45427</v>
          </cell>
          <cell r="EH1">
            <v>45428</v>
          </cell>
          <cell r="EI1">
            <v>45429</v>
          </cell>
          <cell r="EJ1">
            <v>45430</v>
          </cell>
          <cell r="EK1">
            <v>45431</v>
          </cell>
          <cell r="EL1">
            <v>45432</v>
          </cell>
          <cell r="EM1">
            <v>45433</v>
          </cell>
          <cell r="EN1">
            <v>45434</v>
          </cell>
          <cell r="EO1">
            <v>45435</v>
          </cell>
          <cell r="EP1">
            <v>45436</v>
          </cell>
          <cell r="EQ1">
            <v>45437</v>
          </cell>
          <cell r="ER1">
            <v>45438</v>
          </cell>
          <cell r="ES1">
            <v>45439</v>
          </cell>
          <cell r="ET1">
            <v>45440</v>
          </cell>
          <cell r="EU1">
            <v>45441</v>
          </cell>
          <cell r="EV1">
            <v>45442</v>
          </cell>
          <cell r="EW1">
            <v>45443</v>
          </cell>
          <cell r="EX1">
            <v>45444</v>
          </cell>
          <cell r="EY1">
            <v>45445</v>
          </cell>
          <cell r="EZ1">
            <v>45446</v>
          </cell>
          <cell r="FA1">
            <v>45447</v>
          </cell>
          <cell r="FB1">
            <v>45448</v>
          </cell>
          <cell r="FC1">
            <v>45449</v>
          </cell>
          <cell r="FD1">
            <v>45450</v>
          </cell>
          <cell r="FE1">
            <v>45451</v>
          </cell>
          <cell r="FF1">
            <v>45452</v>
          </cell>
          <cell r="FG1">
            <v>45453</v>
          </cell>
          <cell r="FH1">
            <v>45454</v>
          </cell>
          <cell r="FI1">
            <v>45455</v>
          </cell>
          <cell r="FJ1">
            <v>45456</v>
          </cell>
          <cell r="FK1">
            <v>45457</v>
          </cell>
          <cell r="FL1">
            <v>45458</v>
          </cell>
          <cell r="FM1">
            <v>45459</v>
          </cell>
          <cell r="FN1">
            <v>45460</v>
          </cell>
          <cell r="FO1">
            <v>45461</v>
          </cell>
          <cell r="FP1">
            <v>45462</v>
          </cell>
          <cell r="FQ1">
            <v>45463</v>
          </cell>
          <cell r="FR1">
            <v>45464</v>
          </cell>
          <cell r="FS1">
            <v>45465</v>
          </cell>
          <cell r="FT1">
            <v>45466</v>
          </cell>
          <cell r="FU1">
            <v>45467</v>
          </cell>
          <cell r="FV1">
            <v>45468</v>
          </cell>
          <cell r="FW1">
            <v>45469</v>
          </cell>
          <cell r="FX1">
            <v>45470</v>
          </cell>
          <cell r="FY1">
            <v>45471</v>
          </cell>
          <cell r="FZ1">
            <v>45472</v>
          </cell>
          <cell r="GA1">
            <v>45473</v>
          </cell>
          <cell r="GB1">
            <v>45474</v>
          </cell>
          <cell r="GC1">
            <v>45475</v>
          </cell>
          <cell r="GD1">
            <v>45476</v>
          </cell>
          <cell r="GE1">
            <v>45477</v>
          </cell>
          <cell r="GF1">
            <v>45478</v>
          </cell>
          <cell r="GG1">
            <v>45479</v>
          </cell>
          <cell r="GH1">
            <v>45480</v>
          </cell>
          <cell r="GI1">
            <v>45481</v>
          </cell>
          <cell r="GJ1">
            <v>45482</v>
          </cell>
          <cell r="GK1">
            <v>45483</v>
          </cell>
          <cell r="GL1">
            <v>45484</v>
          </cell>
          <cell r="GM1">
            <v>45485</v>
          </cell>
          <cell r="GN1">
            <v>45486</v>
          </cell>
          <cell r="GO1">
            <v>45487</v>
          </cell>
          <cell r="GP1">
            <v>45488</v>
          </cell>
          <cell r="GQ1">
            <v>45489</v>
          </cell>
          <cell r="GR1">
            <v>45490</v>
          </cell>
          <cell r="GS1">
            <v>45491</v>
          </cell>
          <cell r="GT1">
            <v>45492</v>
          </cell>
          <cell r="GU1">
            <v>45493</v>
          </cell>
          <cell r="GV1">
            <v>45494</v>
          </cell>
          <cell r="GW1">
            <v>45495</v>
          </cell>
          <cell r="GX1">
            <v>45496</v>
          </cell>
          <cell r="GY1">
            <v>45497</v>
          </cell>
          <cell r="GZ1">
            <v>45498</v>
          </cell>
          <cell r="HA1">
            <v>45499</v>
          </cell>
          <cell r="HB1">
            <v>45500</v>
          </cell>
          <cell r="HC1">
            <v>45501</v>
          </cell>
          <cell r="HD1">
            <v>45502</v>
          </cell>
          <cell r="HE1">
            <v>45503</v>
          </cell>
          <cell r="HF1">
            <v>45504</v>
          </cell>
          <cell r="HG1">
            <v>45505</v>
          </cell>
          <cell r="HH1">
            <v>45506</v>
          </cell>
          <cell r="HI1">
            <v>45507</v>
          </cell>
          <cell r="HJ1">
            <v>45508</v>
          </cell>
          <cell r="HK1">
            <v>45509</v>
          </cell>
          <cell r="HL1">
            <v>45510</v>
          </cell>
          <cell r="HM1">
            <v>45511</v>
          </cell>
          <cell r="HN1">
            <v>45512</v>
          </cell>
          <cell r="HO1">
            <v>45513</v>
          </cell>
          <cell r="HP1">
            <v>45514</v>
          </cell>
          <cell r="HQ1">
            <v>45515</v>
          </cell>
          <cell r="HR1">
            <v>45516</v>
          </cell>
          <cell r="HS1">
            <v>45517</v>
          </cell>
          <cell r="HT1">
            <v>45518</v>
          </cell>
          <cell r="HU1">
            <v>45519</v>
          </cell>
          <cell r="HV1">
            <v>45520</v>
          </cell>
          <cell r="HW1">
            <v>45521</v>
          </cell>
          <cell r="HX1">
            <v>45522</v>
          </cell>
          <cell r="HY1">
            <v>45523</v>
          </cell>
          <cell r="HZ1">
            <v>45524</v>
          </cell>
          <cell r="IA1">
            <v>45525</v>
          </cell>
          <cell r="IB1">
            <v>45526</v>
          </cell>
          <cell r="IC1">
            <v>45527</v>
          </cell>
          <cell r="ID1">
            <v>45528</v>
          </cell>
          <cell r="IE1">
            <v>45529</v>
          </cell>
          <cell r="IF1">
            <v>45530</v>
          </cell>
          <cell r="IG1">
            <v>45531</v>
          </cell>
          <cell r="IH1">
            <v>45532</v>
          </cell>
          <cell r="II1">
            <v>45533</v>
          </cell>
          <cell r="IJ1">
            <v>45534</v>
          </cell>
          <cell r="IK1">
            <v>45535</v>
          </cell>
          <cell r="IL1">
            <v>45536</v>
          </cell>
          <cell r="IM1">
            <v>45537</v>
          </cell>
          <cell r="IN1">
            <v>45538</v>
          </cell>
          <cell r="IO1">
            <v>45539</v>
          </cell>
          <cell r="IP1">
            <v>45540</v>
          </cell>
          <cell r="IQ1">
            <v>45541</v>
          </cell>
          <cell r="IR1">
            <v>45542</v>
          </cell>
          <cell r="IS1">
            <v>45543</v>
          </cell>
          <cell r="IT1">
            <v>45544</v>
          </cell>
          <cell r="IU1">
            <v>45545</v>
          </cell>
          <cell r="IV1">
            <v>45546</v>
          </cell>
          <cell r="IW1">
            <v>45547</v>
          </cell>
          <cell r="IX1">
            <v>45548</v>
          </cell>
          <cell r="IY1">
            <v>45549</v>
          </cell>
          <cell r="IZ1">
            <v>45550</v>
          </cell>
          <cell r="JA1">
            <v>45551</v>
          </cell>
          <cell r="JB1">
            <v>45552</v>
          </cell>
          <cell r="JC1">
            <v>45553</v>
          </cell>
          <cell r="JD1">
            <v>45554</v>
          </cell>
          <cell r="JE1">
            <v>45555</v>
          </cell>
          <cell r="JF1">
            <v>45556</v>
          </cell>
          <cell r="JG1">
            <v>45557</v>
          </cell>
          <cell r="JH1">
            <v>45558</v>
          </cell>
          <cell r="JI1">
            <v>45559</v>
          </cell>
          <cell r="JJ1">
            <v>45560</v>
          </cell>
          <cell r="JK1">
            <v>45561</v>
          </cell>
          <cell r="JL1">
            <v>45562</v>
          </cell>
          <cell r="JM1">
            <v>45563</v>
          </cell>
          <cell r="JN1">
            <v>45564</v>
          </cell>
          <cell r="JO1">
            <v>45565</v>
          </cell>
          <cell r="JP1">
            <v>45566</v>
          </cell>
          <cell r="JQ1">
            <v>45567</v>
          </cell>
          <cell r="JR1">
            <v>45568</v>
          </cell>
          <cell r="JS1">
            <v>45569</v>
          </cell>
          <cell r="JT1">
            <v>45570</v>
          </cell>
          <cell r="JU1">
            <v>45571</v>
          </cell>
          <cell r="JV1">
            <v>45572</v>
          </cell>
          <cell r="JW1">
            <v>45573</v>
          </cell>
          <cell r="JX1">
            <v>45574</v>
          </cell>
          <cell r="JY1">
            <v>45575</v>
          </cell>
          <cell r="JZ1">
            <v>45576</v>
          </cell>
          <cell r="KA1">
            <v>45577</v>
          </cell>
          <cell r="KB1">
            <v>45578</v>
          </cell>
          <cell r="KC1">
            <v>45579</v>
          </cell>
          <cell r="KD1">
            <v>45580</v>
          </cell>
          <cell r="KE1">
            <v>45581</v>
          </cell>
          <cell r="KF1">
            <v>45582</v>
          </cell>
          <cell r="KG1">
            <v>45583</v>
          </cell>
          <cell r="KH1">
            <v>45584</v>
          </cell>
          <cell r="KI1">
            <v>45585</v>
          </cell>
          <cell r="KJ1">
            <v>45586</v>
          </cell>
          <cell r="KK1">
            <v>45587</v>
          </cell>
          <cell r="KL1">
            <v>45588</v>
          </cell>
          <cell r="KM1">
            <v>45589</v>
          </cell>
          <cell r="KN1">
            <v>45590</v>
          </cell>
          <cell r="KO1">
            <v>45591</v>
          </cell>
          <cell r="KP1">
            <v>45592</v>
          </cell>
          <cell r="KQ1">
            <v>45593</v>
          </cell>
          <cell r="KR1">
            <v>45594</v>
          </cell>
          <cell r="KS1">
            <v>45595</v>
          </cell>
          <cell r="KT1">
            <v>45596</v>
          </cell>
          <cell r="KU1">
            <v>45597</v>
          </cell>
          <cell r="KV1">
            <v>45598</v>
          </cell>
          <cell r="KW1">
            <v>45599</v>
          </cell>
          <cell r="KX1">
            <v>45600</v>
          </cell>
          <cell r="KY1">
            <v>45601</v>
          </cell>
          <cell r="KZ1">
            <v>45602</v>
          </cell>
          <cell r="LA1">
            <v>45603</v>
          </cell>
          <cell r="LB1">
            <v>45604</v>
          </cell>
          <cell r="LC1">
            <v>45605</v>
          </cell>
          <cell r="LD1">
            <v>45606</v>
          </cell>
          <cell r="LE1">
            <v>45607</v>
          </cell>
          <cell r="LF1">
            <v>45608</v>
          </cell>
          <cell r="LG1">
            <v>45609</v>
          </cell>
          <cell r="LH1">
            <v>45610</v>
          </cell>
          <cell r="LI1">
            <v>45611</v>
          </cell>
          <cell r="LJ1">
            <v>45612</v>
          </cell>
          <cell r="LK1">
            <v>45613</v>
          </cell>
          <cell r="LL1">
            <v>45614</v>
          </cell>
          <cell r="LM1">
            <v>45615</v>
          </cell>
          <cell r="LN1">
            <v>45616</v>
          </cell>
          <cell r="LO1">
            <v>45617</v>
          </cell>
          <cell r="LP1">
            <v>45618</v>
          </cell>
          <cell r="LQ1">
            <v>45619</v>
          </cell>
          <cell r="LR1">
            <v>45620</v>
          </cell>
          <cell r="LS1">
            <v>45621</v>
          </cell>
          <cell r="LT1">
            <v>45622</v>
          </cell>
          <cell r="LU1">
            <v>45623</v>
          </cell>
          <cell r="LV1">
            <v>45624</v>
          </cell>
          <cell r="LW1">
            <v>45625</v>
          </cell>
          <cell r="LX1">
            <v>45626</v>
          </cell>
          <cell r="LY1">
            <v>45627</v>
          </cell>
          <cell r="LZ1">
            <v>45628</v>
          </cell>
          <cell r="MA1">
            <v>45629</v>
          </cell>
          <cell r="MB1">
            <v>45630</v>
          </cell>
          <cell r="MC1">
            <v>45631</v>
          </cell>
          <cell r="MD1">
            <v>45632</v>
          </cell>
          <cell r="ME1">
            <v>45633</v>
          </cell>
          <cell r="MF1">
            <v>45634</v>
          </cell>
          <cell r="MG1">
            <v>45635</v>
          </cell>
          <cell r="MH1">
            <v>45636</v>
          </cell>
          <cell r="MI1">
            <v>45637</v>
          </cell>
          <cell r="MJ1">
            <v>45638</v>
          </cell>
          <cell r="MK1">
            <v>45639</v>
          </cell>
          <cell r="ML1">
            <v>45640</v>
          </cell>
          <cell r="MM1">
            <v>45641</v>
          </cell>
          <cell r="MN1">
            <v>45642</v>
          </cell>
          <cell r="MO1">
            <v>45643</v>
          </cell>
          <cell r="MP1">
            <v>45644</v>
          </cell>
          <cell r="MQ1">
            <v>45645</v>
          </cell>
          <cell r="MR1">
            <v>45646</v>
          </cell>
          <cell r="MS1">
            <v>45647</v>
          </cell>
          <cell r="MT1">
            <v>45648</v>
          </cell>
          <cell r="MU1">
            <v>45649</v>
          </cell>
          <cell r="MV1">
            <v>45650</v>
          </cell>
          <cell r="MW1">
            <v>45651</v>
          </cell>
          <cell r="MX1">
            <v>45652</v>
          </cell>
          <cell r="MY1">
            <v>45653</v>
          </cell>
          <cell r="MZ1">
            <v>45654</v>
          </cell>
          <cell r="NA1">
            <v>45655</v>
          </cell>
          <cell r="NB1">
            <v>45656</v>
          </cell>
          <cell r="NC1">
            <v>45657</v>
          </cell>
        </row>
        <row r="2">
          <cell r="C2">
            <v>254.86</v>
          </cell>
          <cell r="D2">
            <v>273.02</v>
          </cell>
          <cell r="E2">
            <v>278.25</v>
          </cell>
          <cell r="F2">
            <v>275.79</v>
          </cell>
          <cell r="G2">
            <v>269.97</v>
          </cell>
          <cell r="H2">
            <v>277.54</v>
          </cell>
          <cell r="I2">
            <v>281.28</v>
          </cell>
          <cell r="J2">
            <v>283.34</v>
          </cell>
          <cell r="K2">
            <v>287.82</v>
          </cell>
          <cell r="L2">
            <v>289.25</v>
          </cell>
          <cell r="M2">
            <v>283.09</v>
          </cell>
          <cell r="N2">
            <v>275.13</v>
          </cell>
          <cell r="O2">
            <v>277.34</v>
          </cell>
          <cell r="P2">
            <v>277.01</v>
          </cell>
          <cell r="Q2">
            <v>277.85</v>
          </cell>
          <cell r="R2">
            <v>274.63</v>
          </cell>
          <cell r="S2">
            <v>271.02</v>
          </cell>
          <cell r="T2">
            <v>262.23</v>
          </cell>
          <cell r="U2">
            <v>252.28</v>
          </cell>
          <cell r="V2">
            <v>251.72</v>
          </cell>
          <cell r="W2">
            <v>246.29</v>
          </cell>
          <cell r="X2">
            <v>240.23</v>
          </cell>
          <cell r="Y2">
            <v>235.24</v>
          </cell>
          <cell r="Z2">
            <v>230.27</v>
          </cell>
          <cell r="AA2">
            <v>224.32</v>
          </cell>
          <cell r="AB2">
            <v>221.75</v>
          </cell>
          <cell r="AC2">
            <v>218.35</v>
          </cell>
          <cell r="AD2">
            <v>213.04</v>
          </cell>
          <cell r="AE2">
            <v>200.8</v>
          </cell>
          <cell r="AF2">
            <v>198.09</v>
          </cell>
          <cell r="AG2">
            <v>202.79</v>
          </cell>
          <cell r="AH2">
            <v>207.16</v>
          </cell>
          <cell r="AI2">
            <v>210.05</v>
          </cell>
          <cell r="AJ2">
            <v>213.68</v>
          </cell>
          <cell r="AK2">
            <v>218.3</v>
          </cell>
          <cell r="AL2">
            <v>232.33</v>
          </cell>
          <cell r="AM2">
            <v>242.34</v>
          </cell>
          <cell r="AN2">
            <v>256.36</v>
          </cell>
          <cell r="AO2">
            <v>262.76</v>
          </cell>
          <cell r="AP2">
            <v>257.51</v>
          </cell>
          <cell r="AQ2">
            <v>261.08</v>
          </cell>
          <cell r="AR2">
            <v>263.63</v>
          </cell>
          <cell r="AS2">
            <v>259.22</v>
          </cell>
          <cell r="AT2">
            <v>262.44</v>
          </cell>
          <cell r="AU2">
            <v>265.01</v>
          </cell>
          <cell r="AV2">
            <v>260.81</v>
          </cell>
          <cell r="AW2">
            <v>255.15</v>
          </cell>
          <cell r="AX2">
            <v>265.46</v>
          </cell>
          <cell r="AY2">
            <v>268.34</v>
          </cell>
          <cell r="AZ2">
            <v>270.65</v>
          </cell>
          <cell r="BA2">
            <v>274.18</v>
          </cell>
          <cell r="BB2">
            <v>276.95</v>
          </cell>
          <cell r="BC2">
            <v>276.11</v>
          </cell>
          <cell r="BD2">
            <v>271.02</v>
          </cell>
          <cell r="BE2">
            <v>276.77</v>
          </cell>
          <cell r="BF2">
            <v>275.81</v>
          </cell>
          <cell r="BG2">
            <v>270.88</v>
          </cell>
          <cell r="BH2">
            <v>266.81</v>
          </cell>
          <cell r="BI2">
            <v>260</v>
          </cell>
          <cell r="BJ2">
            <v>252.21</v>
          </cell>
          <cell r="BK2">
            <v>250.61</v>
          </cell>
          <cell r="BL2">
            <v>265.3</v>
          </cell>
          <cell r="BM2">
            <v>272.21</v>
          </cell>
          <cell r="BN2">
            <v>273.17</v>
          </cell>
          <cell r="BO2">
            <v>269.77</v>
          </cell>
          <cell r="BP2">
            <v>270.72</v>
          </cell>
          <cell r="BQ2">
            <v>262.65</v>
          </cell>
          <cell r="BR2">
            <v>256.07</v>
          </cell>
          <cell r="BS2">
            <v>259.36</v>
          </cell>
          <cell r="BT2">
            <v>259.7</v>
          </cell>
          <cell r="BU2">
            <v>260.23</v>
          </cell>
          <cell r="BV2">
            <v>262.02</v>
          </cell>
          <cell r="BW2">
            <v>264.84</v>
          </cell>
          <cell r="BX2">
            <v>263.15</v>
          </cell>
          <cell r="BY2">
            <v>255.68</v>
          </cell>
          <cell r="BZ2">
            <v>262.03</v>
          </cell>
          <cell r="CA2">
            <v>262.66</v>
          </cell>
          <cell r="CB2">
            <v>259.82</v>
          </cell>
          <cell r="CC2">
            <v>256.91</v>
          </cell>
          <cell r="CD2">
            <v>253.6</v>
          </cell>
          <cell r="CE2">
            <v>249.4</v>
          </cell>
          <cell r="CF2">
            <v>243.22</v>
          </cell>
          <cell r="CG2">
            <v>248.55</v>
          </cell>
          <cell r="CH2">
            <v>250.58</v>
          </cell>
          <cell r="CI2">
            <v>253.21</v>
          </cell>
          <cell r="CJ2">
            <v>255.25</v>
          </cell>
          <cell r="CK2">
            <v>258.41</v>
          </cell>
          <cell r="CL2">
            <v>258.16</v>
          </cell>
          <cell r="CM2">
            <v>252.76</v>
          </cell>
          <cell r="CN2">
            <v>254.4</v>
          </cell>
          <cell r="CO2">
            <v>251.81</v>
          </cell>
          <cell r="CP2">
            <v>251.07</v>
          </cell>
          <cell r="CQ2">
            <v>248.09</v>
          </cell>
          <cell r="CR2">
            <v>226.07</v>
          </cell>
          <cell r="CS2">
            <v>230.61</v>
          </cell>
          <cell r="CT2">
            <v>239.61</v>
          </cell>
          <cell r="CU2">
            <v>248.44</v>
          </cell>
          <cell r="CV2">
            <v>249.92</v>
          </cell>
          <cell r="CW2">
            <v>251.92</v>
          </cell>
          <cell r="CX2">
            <v>252.3</v>
          </cell>
          <cell r="CY2">
            <v>253.31</v>
          </cell>
          <cell r="CZ2">
            <v>245.01</v>
          </cell>
          <cell r="DA2">
            <v>238.88</v>
          </cell>
          <cell r="DB2">
            <v>246.04</v>
          </cell>
          <cell r="DC2">
            <v>248.54</v>
          </cell>
          <cell r="DD2">
            <v>249.76</v>
          </cell>
          <cell r="DE2">
            <v>252.63</v>
          </cell>
          <cell r="DF2">
            <v>255.59</v>
          </cell>
          <cell r="DG2">
            <v>252.36</v>
          </cell>
          <cell r="DH2">
            <v>246.97</v>
          </cell>
          <cell r="DI2">
            <v>254.04</v>
          </cell>
          <cell r="DJ2">
            <v>253.78</v>
          </cell>
          <cell r="DK2">
            <v>255.5</v>
          </cell>
          <cell r="DL2">
            <v>254.38</v>
          </cell>
          <cell r="DM2">
            <v>250.31</v>
          </cell>
          <cell r="DN2">
            <v>247.91</v>
          </cell>
          <cell r="DO2">
            <v>248.09</v>
          </cell>
          <cell r="DP2">
            <v>249.85</v>
          </cell>
          <cell r="DQ2">
            <v>250.78</v>
          </cell>
          <cell r="DR2">
            <v>246.95</v>
          </cell>
          <cell r="DS2">
            <v>220.02</v>
          </cell>
          <cell r="DT2">
            <v>220.75</v>
          </cell>
          <cell r="DU2">
            <v>229.98</v>
          </cell>
          <cell r="DV2">
            <v>237.98</v>
          </cell>
          <cell r="DW2">
            <v>245.59</v>
          </cell>
          <cell r="DX2">
            <v>251.94</v>
          </cell>
          <cell r="DY2">
            <v>252.89</v>
          </cell>
          <cell r="DZ2">
            <v>253.91</v>
          </cell>
          <cell r="EA2">
            <v>251.6</v>
          </cell>
          <cell r="EB2">
            <v>247.06</v>
          </cell>
          <cell r="EC2">
            <v>237.96</v>
          </cell>
          <cell r="ED2">
            <v>246.24</v>
          </cell>
          <cell r="EE2">
            <v>251.74</v>
          </cell>
          <cell r="EF2">
            <v>257.77</v>
          </cell>
          <cell r="EG2">
            <v>259.09</v>
          </cell>
          <cell r="EH2">
            <v>259.78</v>
          </cell>
          <cell r="EI2">
            <v>257.09</v>
          </cell>
          <cell r="EJ2">
            <v>248.68</v>
          </cell>
          <cell r="EK2">
            <v>261.95</v>
          </cell>
          <cell r="EL2">
            <v>272.95</v>
          </cell>
          <cell r="EM2">
            <v>278.89</v>
          </cell>
          <cell r="EN2">
            <v>274.23</v>
          </cell>
          <cell r="EO2">
            <v>264.25</v>
          </cell>
          <cell r="EP2">
            <v>254.53</v>
          </cell>
          <cell r="EQ2">
            <v>246.25</v>
          </cell>
          <cell r="ER2">
            <v>252.68</v>
          </cell>
          <cell r="ES2">
            <v>255.54</v>
          </cell>
          <cell r="ET2">
            <v>256.05</v>
          </cell>
          <cell r="EU2">
            <v>257.01</v>
          </cell>
          <cell r="EV2">
            <v>254.34</v>
          </cell>
          <cell r="EW2">
            <v>226.82</v>
          </cell>
          <cell r="EX2">
            <v>231.51</v>
          </cell>
          <cell r="EY2">
            <v>247.76</v>
          </cell>
          <cell r="EZ2">
            <v>256.39</v>
          </cell>
          <cell r="FA2">
            <v>261.77</v>
          </cell>
          <cell r="FB2">
            <v>268.95</v>
          </cell>
          <cell r="FC2">
            <v>279.5</v>
          </cell>
          <cell r="FD2">
            <v>280.04</v>
          </cell>
          <cell r="FE2">
            <v>273.46</v>
          </cell>
          <cell r="FF2">
            <v>281.33</v>
          </cell>
          <cell r="FG2">
            <v>282.57</v>
          </cell>
          <cell r="FH2">
            <v>283.3</v>
          </cell>
          <cell r="FI2">
            <v>284.1</v>
          </cell>
          <cell r="FJ2">
            <v>289.07</v>
          </cell>
          <cell r="FK2">
            <v>283.74</v>
          </cell>
          <cell r="FL2">
            <v>269.12</v>
          </cell>
          <cell r="FM2">
            <v>280.05</v>
          </cell>
          <cell r="FN2">
            <v>290.93</v>
          </cell>
          <cell r="FO2">
            <v>294.43</v>
          </cell>
          <cell r="FP2">
            <v>289.05</v>
          </cell>
          <cell r="FQ2">
            <v>288.91</v>
          </cell>
          <cell r="FR2">
            <v>282.64</v>
          </cell>
          <cell r="FS2">
            <v>273.42</v>
          </cell>
          <cell r="FT2">
            <v>282.9</v>
          </cell>
          <cell r="FU2">
            <v>285.8</v>
          </cell>
          <cell r="FV2">
            <v>288.49</v>
          </cell>
          <cell r="FW2">
            <v>290.22</v>
          </cell>
          <cell r="FX2">
            <v>289.84</v>
          </cell>
          <cell r="FY2">
            <v>287.45</v>
          </cell>
          <cell r="FZ2">
            <v>279.7</v>
          </cell>
          <cell r="GA2">
            <v>291.61</v>
          </cell>
          <cell r="GB2">
            <v>298.05</v>
          </cell>
          <cell r="GC2">
            <v>310.67</v>
          </cell>
          <cell r="GD2">
            <v>319.14</v>
          </cell>
          <cell r="GE2">
            <v>329.17</v>
          </cell>
          <cell r="GF2">
            <v>325.96</v>
          </cell>
          <cell r="GG2">
            <v>319.39</v>
          </cell>
          <cell r="GH2">
            <v>325.95</v>
          </cell>
          <cell r="GI2">
            <v>324.27</v>
          </cell>
          <cell r="GJ2">
            <v>323.5</v>
          </cell>
          <cell r="GK2">
            <v>320.53</v>
          </cell>
          <cell r="GL2">
            <v>316.48</v>
          </cell>
          <cell r="GM2">
            <v>311.82</v>
          </cell>
          <cell r="GN2">
            <v>308.51</v>
          </cell>
          <cell r="GO2">
            <v>325.32</v>
          </cell>
          <cell r="GP2">
            <v>330.13</v>
          </cell>
          <cell r="GQ2">
            <v>337.3</v>
          </cell>
          <cell r="GR2">
            <v>338.81</v>
          </cell>
          <cell r="GS2">
            <v>335.41</v>
          </cell>
          <cell r="GT2">
            <v>325.8</v>
          </cell>
          <cell r="GU2">
            <v>311.39</v>
          </cell>
          <cell r="GV2">
            <v>317.57</v>
          </cell>
          <cell r="GW2">
            <v>317.06</v>
          </cell>
          <cell r="GX2">
            <v>316.97</v>
          </cell>
          <cell r="GY2">
            <v>321.48</v>
          </cell>
          <cell r="GZ2">
            <v>325.39</v>
          </cell>
          <cell r="HA2">
            <v>321.98</v>
          </cell>
          <cell r="HB2">
            <v>317.56</v>
          </cell>
          <cell r="HC2">
            <v>328.76</v>
          </cell>
          <cell r="HD2">
            <v>326.57</v>
          </cell>
          <cell r="HE2">
            <v>323.1</v>
          </cell>
          <cell r="HF2">
            <v>317.66</v>
          </cell>
          <cell r="HG2">
            <v>320.25</v>
          </cell>
          <cell r="HH2">
            <v>319.72</v>
          </cell>
          <cell r="HI2">
            <v>319.07</v>
          </cell>
          <cell r="HJ2">
            <v>332.6</v>
          </cell>
        </row>
        <row r="3">
          <cell r="C3">
            <v>254.86</v>
          </cell>
          <cell r="D3">
            <v>527.88</v>
          </cell>
          <cell r="E3">
            <v>806.13</v>
          </cell>
          <cell r="F3">
            <v>1081.92</v>
          </cell>
          <cell r="G3">
            <v>1351.89</v>
          </cell>
          <cell r="H3">
            <v>1629.43</v>
          </cell>
          <cell r="I3">
            <v>1910.71</v>
          </cell>
          <cell r="J3">
            <v>2194.05</v>
          </cell>
          <cell r="K3">
            <v>2481.87</v>
          </cell>
          <cell r="L3">
            <v>2771.12</v>
          </cell>
          <cell r="M3">
            <v>3054.21</v>
          </cell>
          <cell r="N3">
            <v>3329.33</v>
          </cell>
          <cell r="O3">
            <v>3606.68</v>
          </cell>
          <cell r="P3">
            <v>3883.69</v>
          </cell>
          <cell r="Q3">
            <v>4161.54</v>
          </cell>
          <cell r="R3">
            <v>4436.17</v>
          </cell>
          <cell r="S3">
            <v>4707.19</v>
          </cell>
          <cell r="T3">
            <v>4969.42</v>
          </cell>
          <cell r="U3">
            <v>5221.7</v>
          </cell>
          <cell r="V3">
            <v>5473.42</v>
          </cell>
          <cell r="W3">
            <v>5719.71</v>
          </cell>
          <cell r="X3">
            <v>5959.94</v>
          </cell>
          <cell r="Y3">
            <v>6195.17</v>
          </cell>
          <cell r="Z3">
            <v>6425.44</v>
          </cell>
          <cell r="AA3">
            <v>6649.76</v>
          </cell>
          <cell r="AB3">
            <v>6871.51</v>
          </cell>
          <cell r="AC3">
            <v>7089.86</v>
          </cell>
          <cell r="AD3">
            <v>7302.89</v>
          </cell>
          <cell r="AE3">
            <v>7503.7</v>
          </cell>
          <cell r="AF3">
            <v>7701.79</v>
          </cell>
          <cell r="AG3">
            <v>7904.58</v>
          </cell>
          <cell r="AH3">
            <v>207.16</v>
          </cell>
          <cell r="AI3">
            <v>417.2</v>
          </cell>
          <cell r="AJ3">
            <v>630.89</v>
          </cell>
          <cell r="AK3">
            <v>849.19</v>
          </cell>
          <cell r="AL3">
            <v>1081.52</v>
          </cell>
          <cell r="AM3">
            <v>1323.86</v>
          </cell>
          <cell r="AN3">
            <v>1580.22</v>
          </cell>
          <cell r="AO3">
            <v>1842.98</v>
          </cell>
          <cell r="AP3">
            <v>2100.49</v>
          </cell>
          <cell r="AQ3">
            <v>2361.58</v>
          </cell>
          <cell r="AR3">
            <v>2625.21</v>
          </cell>
          <cell r="AS3">
            <v>2884.43</v>
          </cell>
          <cell r="AT3">
            <v>3146.87</v>
          </cell>
          <cell r="AU3">
            <v>3411.88</v>
          </cell>
          <cell r="AV3">
            <v>3672.69</v>
          </cell>
          <cell r="AW3">
            <v>3927.84</v>
          </cell>
          <cell r="AX3">
            <v>4193.29</v>
          </cell>
          <cell r="AY3">
            <v>4461.64</v>
          </cell>
          <cell r="AZ3">
            <v>4732.29</v>
          </cell>
          <cell r="BA3">
            <v>5006.47</v>
          </cell>
          <cell r="BB3">
            <v>5283.42</v>
          </cell>
          <cell r="BC3">
            <v>5559.52</v>
          </cell>
          <cell r="BD3">
            <v>5830.55</v>
          </cell>
          <cell r="BE3">
            <v>6107.31</v>
          </cell>
          <cell r="BF3">
            <v>6383.12</v>
          </cell>
          <cell r="BG3">
            <v>6654.01</v>
          </cell>
          <cell r="BH3">
            <v>6920.82</v>
          </cell>
          <cell r="BI3">
            <v>7180.82</v>
          </cell>
          <cell r="BJ3">
            <v>252.21</v>
          </cell>
          <cell r="BK3">
            <v>502.83</v>
          </cell>
          <cell r="BL3">
            <v>768.13</v>
          </cell>
          <cell r="BM3">
            <v>1040.34</v>
          </cell>
          <cell r="BN3">
            <v>1313.51</v>
          </cell>
          <cell r="BO3">
            <v>1583.28</v>
          </cell>
          <cell r="BP3">
            <v>1854</v>
          </cell>
          <cell r="BQ3">
            <v>2116.65</v>
          </cell>
          <cell r="BR3">
            <v>2372.72</v>
          </cell>
          <cell r="BS3">
            <v>2632.08</v>
          </cell>
          <cell r="BT3">
            <v>2891.78</v>
          </cell>
          <cell r="BU3">
            <v>3152</v>
          </cell>
          <cell r="BV3">
            <v>3414.03</v>
          </cell>
          <cell r="BW3">
            <v>3678.86</v>
          </cell>
          <cell r="BX3">
            <v>3942.02</v>
          </cell>
          <cell r="BY3">
            <v>4197.7</v>
          </cell>
          <cell r="BZ3">
            <v>4459.73</v>
          </cell>
          <cell r="CA3">
            <v>4722.39</v>
          </cell>
          <cell r="CB3">
            <v>4982.21</v>
          </cell>
          <cell r="CC3">
            <v>5239.11</v>
          </cell>
          <cell r="CD3">
            <v>5492.71</v>
          </cell>
          <cell r="CE3">
            <v>5742.12</v>
          </cell>
          <cell r="CF3">
            <v>5985.34</v>
          </cell>
          <cell r="CG3">
            <v>6233.89</v>
          </cell>
          <cell r="CH3">
            <v>6484.47</v>
          </cell>
          <cell r="CI3">
            <v>6737.68</v>
          </cell>
          <cell r="CJ3">
            <v>6992.93</v>
          </cell>
          <cell r="CK3">
            <v>7251.34</v>
          </cell>
          <cell r="CL3">
            <v>7509.51</v>
          </cell>
          <cell r="CM3">
            <v>7762.27</v>
          </cell>
          <cell r="CN3">
            <v>8016.68</v>
          </cell>
          <cell r="CO3">
            <v>251.81</v>
          </cell>
          <cell r="CP3">
            <v>502.88</v>
          </cell>
          <cell r="CQ3">
            <v>750.97</v>
          </cell>
          <cell r="CR3">
            <v>977.04</v>
          </cell>
          <cell r="CS3">
            <v>1207.64</v>
          </cell>
          <cell r="CT3">
            <v>1447.25</v>
          </cell>
          <cell r="CU3">
            <v>1695.69</v>
          </cell>
          <cell r="CV3">
            <v>1945.61</v>
          </cell>
          <cell r="CW3">
            <v>2197.53</v>
          </cell>
          <cell r="CX3">
            <v>2449.83</v>
          </cell>
          <cell r="CY3">
            <v>2703.14</v>
          </cell>
          <cell r="CZ3">
            <v>2948.15</v>
          </cell>
          <cell r="DA3">
            <v>3187.02</v>
          </cell>
          <cell r="DB3">
            <v>3433.07</v>
          </cell>
          <cell r="DC3">
            <v>3681.61</v>
          </cell>
          <cell r="DD3">
            <v>3931.37</v>
          </cell>
          <cell r="DE3">
            <v>4184</v>
          </cell>
          <cell r="DF3">
            <v>4439.59</v>
          </cell>
          <cell r="DG3">
            <v>4691.95</v>
          </cell>
          <cell r="DH3">
            <v>4938.93</v>
          </cell>
          <cell r="DI3">
            <v>5192.97</v>
          </cell>
          <cell r="DJ3">
            <v>5446.75</v>
          </cell>
          <cell r="DK3">
            <v>5702.24</v>
          </cell>
          <cell r="DL3">
            <v>5956.63</v>
          </cell>
          <cell r="DM3">
            <v>6206.94</v>
          </cell>
          <cell r="DN3">
            <v>6454.85</v>
          </cell>
          <cell r="DO3">
            <v>6702.94</v>
          </cell>
          <cell r="DP3">
            <v>6952.79</v>
          </cell>
          <cell r="DQ3">
            <v>7203.57</v>
          </cell>
          <cell r="DR3">
            <v>7450.52</v>
          </cell>
          <cell r="DS3">
            <v>220.02</v>
          </cell>
          <cell r="DT3">
            <v>440.77</v>
          </cell>
          <cell r="DU3">
            <v>670.75</v>
          </cell>
          <cell r="DV3">
            <v>908.73</v>
          </cell>
          <cell r="DW3">
            <v>1154.31</v>
          </cell>
          <cell r="DX3">
            <v>1406.25</v>
          </cell>
          <cell r="DY3">
            <v>1659.14</v>
          </cell>
          <cell r="DZ3">
            <v>1913.05</v>
          </cell>
          <cell r="EA3">
            <v>2164.65</v>
          </cell>
          <cell r="EB3">
            <v>2411.71</v>
          </cell>
          <cell r="EC3">
            <v>2649.67</v>
          </cell>
          <cell r="ED3">
            <v>2895.92</v>
          </cell>
          <cell r="EE3">
            <v>3147.66</v>
          </cell>
          <cell r="EF3">
            <v>3405.43</v>
          </cell>
          <cell r="EG3">
            <v>3664.52</v>
          </cell>
          <cell r="EH3">
            <v>3924.3</v>
          </cell>
          <cell r="EI3">
            <v>4181.39</v>
          </cell>
          <cell r="EJ3">
            <v>4430.07</v>
          </cell>
          <cell r="EK3">
            <v>4692.02</v>
          </cell>
          <cell r="EL3">
            <v>4964.97</v>
          </cell>
          <cell r="EM3">
            <v>5243.85</v>
          </cell>
          <cell r="EN3">
            <v>5518.09</v>
          </cell>
          <cell r="EO3">
            <v>5782.34</v>
          </cell>
          <cell r="EP3">
            <v>6036.86</v>
          </cell>
          <cell r="EQ3">
            <v>6283.12</v>
          </cell>
          <cell r="ER3">
            <v>6535.8</v>
          </cell>
          <cell r="ES3">
            <v>6791.33</v>
          </cell>
          <cell r="ET3">
            <v>7047.39</v>
          </cell>
          <cell r="EU3">
            <v>7304.4</v>
          </cell>
          <cell r="EV3">
            <v>7558.74</v>
          </cell>
          <cell r="EW3">
            <v>7785.56</v>
          </cell>
          <cell r="EX3">
            <v>231.51</v>
          </cell>
          <cell r="EY3">
            <v>479.27</v>
          </cell>
          <cell r="EZ3">
            <v>735.66</v>
          </cell>
          <cell r="FA3">
            <v>997.43</v>
          </cell>
          <cell r="FB3">
            <v>1266.38</v>
          </cell>
          <cell r="FC3">
            <v>1545.87</v>
          </cell>
          <cell r="FD3">
            <v>1825.92</v>
          </cell>
          <cell r="FE3">
            <v>2099.38</v>
          </cell>
          <cell r="FF3">
            <v>2380.7</v>
          </cell>
          <cell r="FG3">
            <v>2663.27</v>
          </cell>
          <cell r="FH3">
            <v>2946.57</v>
          </cell>
          <cell r="FI3">
            <v>3230.67</v>
          </cell>
          <cell r="FJ3">
            <v>3519.74</v>
          </cell>
          <cell r="FK3">
            <v>3803.48</v>
          </cell>
          <cell r="FL3">
            <v>4072.6</v>
          </cell>
          <cell r="FM3">
            <v>4352.64</v>
          </cell>
          <cell r="FN3">
            <v>4643.58</v>
          </cell>
          <cell r="FO3">
            <v>4938.01</v>
          </cell>
          <cell r="FP3">
            <v>5227.06</v>
          </cell>
          <cell r="FQ3">
            <v>5515.97</v>
          </cell>
          <cell r="FR3">
            <v>5798.61</v>
          </cell>
          <cell r="FS3">
            <v>6072.03</v>
          </cell>
          <cell r="FT3">
            <v>6354.93</v>
          </cell>
          <cell r="FU3">
            <v>6640.73</v>
          </cell>
          <cell r="FV3">
            <v>6929.22</v>
          </cell>
          <cell r="FW3">
            <v>7219.44</v>
          </cell>
          <cell r="FX3">
            <v>7509.28</v>
          </cell>
          <cell r="FY3">
            <v>7796.73</v>
          </cell>
          <cell r="FZ3">
            <v>8076.43</v>
          </cell>
          <cell r="GA3">
            <v>8368.04</v>
          </cell>
          <cell r="GB3">
            <v>298.05</v>
          </cell>
          <cell r="GC3">
            <v>608.71</v>
          </cell>
          <cell r="GD3">
            <v>927.85</v>
          </cell>
          <cell r="GE3">
            <v>1257.03</v>
          </cell>
          <cell r="GF3">
            <v>1582.98</v>
          </cell>
          <cell r="GG3">
            <v>1902.38</v>
          </cell>
          <cell r="GH3">
            <v>2228.33</v>
          </cell>
          <cell r="GI3">
            <v>2552.6</v>
          </cell>
          <cell r="GJ3">
            <v>2876.09</v>
          </cell>
          <cell r="GK3">
            <v>3196.62</v>
          </cell>
          <cell r="GL3">
            <v>3513.1</v>
          </cell>
          <cell r="GM3">
            <v>3824.92</v>
          </cell>
          <cell r="GN3">
            <v>4133.43</v>
          </cell>
          <cell r="GO3">
            <v>4458.76</v>
          </cell>
          <cell r="GP3">
            <v>4788.88</v>
          </cell>
          <cell r="GQ3">
            <v>5126.18</v>
          </cell>
          <cell r="GR3">
            <v>5464.99</v>
          </cell>
          <cell r="GS3">
            <v>5800.4</v>
          </cell>
          <cell r="GT3">
            <v>6126.2</v>
          </cell>
          <cell r="GU3">
            <v>6437.59</v>
          </cell>
          <cell r="GV3">
            <v>6755.17</v>
          </cell>
          <cell r="GW3">
            <v>7072.23</v>
          </cell>
          <cell r="GX3">
            <v>7389.2</v>
          </cell>
          <cell r="GY3">
            <v>7710.68</v>
          </cell>
          <cell r="GZ3">
            <v>8036.07</v>
          </cell>
          <cell r="HA3">
            <v>8353.06</v>
          </cell>
          <cell r="HB3">
            <v>8675.61</v>
          </cell>
          <cell r="HC3">
            <v>9004.38</v>
          </cell>
          <cell r="HD3">
            <v>9330.95</v>
          </cell>
          <cell r="HE3">
            <v>9654.05</v>
          </cell>
          <cell r="HF3">
            <v>9971.71</v>
          </cell>
          <cell r="HG3">
            <v>320.25</v>
          </cell>
          <cell r="HH3">
            <v>639.97</v>
          </cell>
          <cell r="HI3">
            <v>959.04</v>
          </cell>
          <cell r="HJ3">
            <v>1291.64</v>
          </cell>
        </row>
        <row r="4">
          <cell r="C4">
            <v>0.051</v>
          </cell>
          <cell r="D4">
            <v>0.0451</v>
          </cell>
          <cell r="E4">
            <v>0.0416</v>
          </cell>
          <cell r="F4">
            <v>0.036</v>
          </cell>
          <cell r="G4">
            <v>0.0297</v>
          </cell>
          <cell r="H4">
            <v>0.0323</v>
          </cell>
          <cell r="I4">
            <v>0.0374</v>
          </cell>
          <cell r="J4">
            <v>0.038</v>
          </cell>
          <cell r="K4">
            <v>0.0413</v>
          </cell>
          <cell r="L4">
            <v>0.0437</v>
          </cell>
          <cell r="M4">
            <v>0.0445</v>
          </cell>
          <cell r="N4">
            <v>0.0437</v>
          </cell>
          <cell r="O4">
            <v>0.0451</v>
          </cell>
          <cell r="P4">
            <v>0.0478</v>
          </cell>
          <cell r="Q4">
            <v>0.0475</v>
          </cell>
          <cell r="R4">
            <v>0.0454</v>
          </cell>
          <cell r="S4">
            <v>0.0432</v>
          </cell>
          <cell r="T4">
            <v>0.0391</v>
          </cell>
          <cell r="U4">
            <v>0.0328</v>
          </cell>
          <cell r="V4">
            <v>0.0274</v>
          </cell>
          <cell r="W4">
            <v>0.0215</v>
          </cell>
          <cell r="X4">
            <v>0.0123</v>
          </cell>
          <cell r="Y4">
            <v>0.0025</v>
          </cell>
          <cell r="Z4">
            <v>-0.0069</v>
          </cell>
          <cell r="AA4">
            <v>-0.0154</v>
          </cell>
          <cell r="AB4">
            <v>-0.0228</v>
          </cell>
          <cell r="AC4">
            <v>-0.029</v>
          </cell>
          <cell r="AD4">
            <v>-0.0344</v>
          </cell>
          <cell r="AE4">
            <v>-0.0412</v>
          </cell>
          <cell r="AF4">
            <v>-0.0471</v>
          </cell>
          <cell r="AG4">
            <v>-0.0515</v>
          </cell>
          <cell r="AH4">
            <v>-0.1758</v>
          </cell>
          <cell r="AI4">
            <v>-0.1694</v>
          </cell>
          <cell r="AJ4">
            <v>-0.1559</v>
          </cell>
          <cell r="AK4">
            <v>-0.1432</v>
          </cell>
          <cell r="AL4">
            <v>-0.1216</v>
          </cell>
          <cell r="AM4">
            <v>-0.097</v>
          </cell>
          <cell r="AN4">
            <v>-0.0671</v>
          </cell>
          <cell r="AO4">
            <v>-0.0362</v>
          </cell>
          <cell r="AP4">
            <v>-0.009</v>
          </cell>
          <cell r="AQ4">
            <v>0.0227</v>
          </cell>
          <cell r="AR4">
            <v>0.0531</v>
          </cell>
          <cell r="AS4">
            <v>0.0785</v>
          </cell>
          <cell r="AT4">
            <v>0.1025</v>
          </cell>
          <cell r="AU4">
            <v>0.1238</v>
          </cell>
          <cell r="AV4">
            <v>0.1388</v>
          </cell>
          <cell r="AW4">
            <v>0.1489</v>
          </cell>
          <cell r="AX4">
            <v>0.1594</v>
          </cell>
          <cell r="AY4">
            <v>0.167</v>
          </cell>
          <cell r="AZ4">
            <v>0.1708</v>
          </cell>
          <cell r="BA4">
            <v>0.1711</v>
          </cell>
          <cell r="BB4">
            <v>0.1688</v>
          </cell>
          <cell r="BC4">
            <v>0.1641</v>
          </cell>
          <cell r="BD4">
            <v>0.1576</v>
          </cell>
          <cell r="BE4">
            <v>0.1541</v>
          </cell>
          <cell r="BF4">
            <v>0.151</v>
          </cell>
          <cell r="BG4">
            <v>0.1457</v>
          </cell>
          <cell r="BH4">
            <v>0.1403</v>
          </cell>
          <cell r="BI4">
            <v>0.1339</v>
          </cell>
          <cell r="BJ4">
            <v>-0.0561</v>
          </cell>
          <cell r="BK4">
            <v>-0.0459</v>
          </cell>
          <cell r="BL4">
            <v>-0.0135</v>
          </cell>
          <cell r="BM4">
            <v>0.0028</v>
          </cell>
          <cell r="BN4">
            <v>0.0115</v>
          </cell>
          <cell r="BO4">
            <v>0.0159</v>
          </cell>
          <cell r="BP4">
            <v>0.021</v>
          </cell>
          <cell r="BQ4">
            <v>0.0223</v>
          </cell>
          <cell r="BR4">
            <v>0.0221</v>
          </cell>
          <cell r="BS4">
            <v>0.0257</v>
          </cell>
          <cell r="BT4">
            <v>0.0282</v>
          </cell>
          <cell r="BU4">
            <v>0.0304</v>
          </cell>
          <cell r="BV4">
            <v>0.0325</v>
          </cell>
          <cell r="BW4">
            <v>0.0351</v>
          </cell>
          <cell r="BX4">
            <v>0.0377</v>
          </cell>
          <cell r="BY4">
            <v>0.0392</v>
          </cell>
          <cell r="BZ4">
            <v>0.043</v>
          </cell>
          <cell r="CA4">
            <v>0.0447</v>
          </cell>
          <cell r="CB4">
            <v>0.0456</v>
          </cell>
          <cell r="CC4">
            <v>0.0466</v>
          </cell>
          <cell r="CD4">
            <v>0.0466</v>
          </cell>
          <cell r="CE4">
            <v>0.046</v>
          </cell>
          <cell r="CF4">
            <v>0.0447</v>
          </cell>
          <cell r="CG4">
            <v>0.0452</v>
          </cell>
          <cell r="CH4">
            <v>0.0449</v>
          </cell>
          <cell r="CI4">
            <v>0.0449</v>
          </cell>
          <cell r="CJ4">
            <v>0.0449</v>
          </cell>
          <cell r="CK4">
            <v>0.0456</v>
          </cell>
          <cell r="CL4">
            <v>0.0464</v>
          </cell>
          <cell r="CM4">
            <v>0.0468</v>
          </cell>
          <cell r="CN4">
            <v>0.0481</v>
          </cell>
          <cell r="CO4">
            <v>0.0614</v>
          </cell>
          <cell r="CP4">
            <v>0.0549</v>
          </cell>
          <cell r="CQ4">
            <v>0.0487</v>
          </cell>
          <cell r="CR4">
            <v>0.0465</v>
          </cell>
          <cell r="CS4">
            <v>0.0444</v>
          </cell>
          <cell r="CT4">
            <v>0.0428</v>
          </cell>
          <cell r="CU4">
            <v>0.0442</v>
          </cell>
          <cell r="CV4">
            <v>0.0451</v>
          </cell>
          <cell r="CW4">
            <v>0.0472</v>
          </cell>
          <cell r="CX4">
            <v>0.0489</v>
          </cell>
          <cell r="CY4">
            <v>0.0502</v>
          </cell>
          <cell r="CZ4">
            <v>0.0479</v>
          </cell>
          <cell r="DA4">
            <v>0.0444</v>
          </cell>
          <cell r="DB4">
            <v>0.0451</v>
          </cell>
          <cell r="DC4">
            <v>0.0443</v>
          </cell>
          <cell r="DD4">
            <v>0.0437</v>
          </cell>
          <cell r="DE4">
            <v>0.0437</v>
          </cell>
          <cell r="DF4">
            <v>0.0446</v>
          </cell>
          <cell r="DG4">
            <v>0.0451</v>
          </cell>
          <cell r="DH4">
            <v>0.0449</v>
          </cell>
          <cell r="DI4">
            <v>0.0475</v>
          </cell>
          <cell r="DJ4">
            <v>0.0487</v>
          </cell>
          <cell r="DK4">
            <v>0.0498</v>
          </cell>
          <cell r="DL4">
            <v>0.0504</v>
          </cell>
          <cell r="DM4">
            <v>0.0502</v>
          </cell>
          <cell r="DN4">
            <v>0.0491</v>
          </cell>
          <cell r="DO4">
            <v>0.0483</v>
          </cell>
          <cell r="DP4">
            <v>0.0479</v>
          </cell>
          <cell r="DQ4">
            <v>0.0475</v>
          </cell>
          <cell r="DR4">
            <v>0.0475</v>
          </cell>
          <cell r="DS4">
            <v>0.0572</v>
          </cell>
          <cell r="DT4">
            <v>0.055</v>
          </cell>
          <cell r="DU4">
            <v>0.0516</v>
          </cell>
          <cell r="DV4">
            <v>0.0521</v>
          </cell>
          <cell r="DW4">
            <v>0.0552</v>
          </cell>
          <cell r="DX4">
            <v>0.0557</v>
          </cell>
          <cell r="DY4">
            <v>0.0549</v>
          </cell>
          <cell r="DZ4">
            <v>0.0545</v>
          </cell>
          <cell r="EA4">
            <v>0.0537</v>
          </cell>
          <cell r="EB4">
            <v>0.0505</v>
          </cell>
          <cell r="EC4">
            <v>0.0443</v>
          </cell>
          <cell r="ED4">
            <v>0.0446</v>
          </cell>
          <cell r="EE4">
            <v>0.0451</v>
          </cell>
          <cell r="EF4">
            <v>0.0464</v>
          </cell>
          <cell r="EG4">
            <v>0.0481</v>
          </cell>
          <cell r="EH4">
            <v>0.0495</v>
          </cell>
          <cell r="EI4">
            <v>0.0487</v>
          </cell>
          <cell r="EJ4">
            <v>0.046</v>
          </cell>
          <cell r="EK4">
            <v>0.0483</v>
          </cell>
          <cell r="EL4">
            <v>0.0518</v>
          </cell>
          <cell r="EM4">
            <v>0.0555</v>
          </cell>
          <cell r="EN4">
            <v>0.0576</v>
          </cell>
          <cell r="EO4">
            <v>0.0568</v>
          </cell>
          <cell r="EP4">
            <v>0.0542</v>
          </cell>
          <cell r="EQ4">
            <v>0.0509</v>
          </cell>
          <cell r="ER4">
            <v>0.0497</v>
          </cell>
          <cell r="ES4">
            <v>0.0486</v>
          </cell>
          <cell r="ET4">
            <v>0.048</v>
          </cell>
          <cell r="EU4">
            <v>0.0478</v>
          </cell>
          <cell r="EV4">
            <v>0.0473</v>
          </cell>
          <cell r="EW4">
            <v>0.0429</v>
          </cell>
          <cell r="EX4">
            <v>-0.0421</v>
          </cell>
          <cell r="EY4">
            <v>-0.0027</v>
          </cell>
          <cell r="EZ4">
            <v>0.0091</v>
          </cell>
          <cell r="FA4">
            <v>0.0197</v>
          </cell>
          <cell r="FB4">
            <v>0.0328</v>
          </cell>
          <cell r="FC4">
            <v>0.048</v>
          </cell>
          <cell r="FD4">
            <v>0.0591</v>
          </cell>
          <cell r="FE4">
            <v>0.0646</v>
          </cell>
          <cell r="FF4">
            <v>0.0751</v>
          </cell>
          <cell r="FG4">
            <v>0.0885</v>
          </cell>
          <cell r="FH4">
            <v>0.0901</v>
          </cell>
          <cell r="FI4">
            <v>0.0862</v>
          </cell>
          <cell r="FJ4">
            <v>0.0817</v>
          </cell>
          <cell r="FK4">
            <v>0.0758</v>
          </cell>
          <cell r="FL4">
            <v>0.0677</v>
          </cell>
          <cell r="FM4">
            <v>0.0666</v>
          </cell>
          <cell r="FN4">
            <v>0.0667</v>
          </cell>
          <cell r="FO4">
            <v>0.0666</v>
          </cell>
          <cell r="FP4">
            <v>0.0654</v>
          </cell>
          <cell r="FQ4">
            <v>0.0635</v>
          </cell>
          <cell r="FR4">
            <v>0.0606</v>
          </cell>
          <cell r="FS4">
            <v>0.0568</v>
          </cell>
          <cell r="FT4">
            <v>0.0564</v>
          </cell>
          <cell r="FU4">
            <v>0.0558</v>
          </cell>
          <cell r="FV4">
            <v>0.0557</v>
          </cell>
          <cell r="FW4">
            <v>0.0559</v>
          </cell>
          <cell r="FX4">
            <v>0.0561</v>
          </cell>
          <cell r="FY4">
            <v>0.0555</v>
          </cell>
          <cell r="FZ4">
            <v>0.0543</v>
          </cell>
          <cell r="GA4">
            <v>0.0551</v>
          </cell>
          <cell r="GB4">
            <v>0.0918</v>
          </cell>
          <cell r="GC4">
            <v>0.1197</v>
          </cell>
          <cell r="GD4">
            <v>0.1324</v>
          </cell>
          <cell r="GE4">
            <v>0.1407</v>
          </cell>
          <cell r="GF4">
            <v>0.1368</v>
          </cell>
          <cell r="GG4">
            <v>0.1295</v>
          </cell>
          <cell r="GH4">
            <v>0.1289</v>
          </cell>
          <cell r="GI4">
            <v>0.1235</v>
          </cell>
          <cell r="GJ4">
            <v>0.1194</v>
          </cell>
          <cell r="GK4">
            <v>0.116</v>
          </cell>
          <cell r="GL4">
            <v>0.113</v>
          </cell>
          <cell r="GM4">
            <v>0.1087</v>
          </cell>
          <cell r="GN4">
            <v>0.1063</v>
          </cell>
          <cell r="GO4">
            <v>0.1106</v>
          </cell>
          <cell r="GP4">
            <v>0.1123</v>
          </cell>
          <cell r="GQ4">
            <v>0.1137</v>
          </cell>
          <cell r="GR4">
            <v>0.115</v>
          </cell>
          <cell r="GS4">
            <v>0.1146</v>
          </cell>
          <cell r="GT4">
            <v>0.1116</v>
          </cell>
          <cell r="GU4">
            <v>0.1076</v>
          </cell>
          <cell r="GV4">
            <v>0.1044</v>
          </cell>
          <cell r="GW4">
            <v>0.0991</v>
          </cell>
          <cell r="GX4">
            <v>0.0932</v>
          </cell>
          <cell r="GY4">
            <v>0.0884</v>
          </cell>
          <cell r="GZ4">
            <v>0.0861</v>
          </cell>
          <cell r="HA4">
            <v>0.0842</v>
          </cell>
          <cell r="HB4">
            <v>0.0836</v>
          </cell>
          <cell r="HC4">
            <v>0.0857</v>
          </cell>
          <cell r="HD4">
            <v>0.0861</v>
          </cell>
          <cell r="HE4">
            <v>0.0857</v>
          </cell>
          <cell r="HF4">
            <v>0.0843</v>
          </cell>
          <cell r="HG4">
            <v>0.0366</v>
          </cell>
          <cell r="HH4">
            <v>0.0238</v>
          </cell>
          <cell r="HI4">
            <v>0.0191</v>
          </cell>
          <cell r="HJ4">
            <v>0.0346</v>
          </cell>
        </row>
        <row r="6">
          <cell r="C6">
            <v>254.86</v>
          </cell>
          <cell r="D6">
            <v>527.88</v>
          </cell>
          <cell r="E6">
            <v>806.13</v>
          </cell>
          <cell r="F6">
            <v>1081.92</v>
          </cell>
          <cell r="G6">
            <v>1351.89</v>
          </cell>
          <cell r="H6">
            <v>1629.43</v>
          </cell>
          <cell r="I6">
            <v>1910.71</v>
          </cell>
          <cell r="J6">
            <v>2194.05</v>
          </cell>
          <cell r="K6">
            <v>2481.87</v>
          </cell>
          <cell r="L6">
            <v>2771.12</v>
          </cell>
          <cell r="M6">
            <v>3054.21</v>
          </cell>
          <cell r="N6">
            <v>3329.33</v>
          </cell>
          <cell r="O6">
            <v>3606.68</v>
          </cell>
          <cell r="P6">
            <v>3883.69</v>
          </cell>
          <cell r="Q6">
            <v>4161.54</v>
          </cell>
          <cell r="R6">
            <v>4436.17</v>
          </cell>
          <cell r="S6">
            <v>4707.19</v>
          </cell>
          <cell r="T6">
            <v>4969.42</v>
          </cell>
          <cell r="U6">
            <v>5221.7</v>
          </cell>
          <cell r="V6">
            <v>5473.42</v>
          </cell>
          <cell r="W6">
            <v>5719.71</v>
          </cell>
          <cell r="X6">
            <v>5959.94</v>
          </cell>
          <cell r="Y6">
            <v>6195.17</v>
          </cell>
          <cell r="Z6">
            <v>6425.44</v>
          </cell>
          <cell r="AA6">
            <v>6649.76</v>
          </cell>
          <cell r="AB6">
            <v>6871.51</v>
          </cell>
          <cell r="AC6">
            <v>7089.86</v>
          </cell>
          <cell r="AD6">
            <v>7302.89</v>
          </cell>
          <cell r="AE6">
            <v>7503.7</v>
          </cell>
          <cell r="AF6">
            <v>7701.79</v>
          </cell>
          <cell r="AG6">
            <v>7904.58</v>
          </cell>
          <cell r="AH6">
            <v>8111.74</v>
          </cell>
          <cell r="AI6">
            <v>8321.78</v>
          </cell>
          <cell r="AJ6">
            <v>8535.47</v>
          </cell>
          <cell r="AK6">
            <v>8753.77</v>
          </cell>
          <cell r="AL6">
            <v>8986.1</v>
          </cell>
          <cell r="AM6">
            <v>9228.44</v>
          </cell>
          <cell r="AN6">
            <v>9484.8</v>
          </cell>
          <cell r="AO6">
            <v>9747.56</v>
          </cell>
          <cell r="AP6">
            <v>10005.07</v>
          </cell>
          <cell r="AQ6">
            <v>10266.16</v>
          </cell>
          <cell r="AR6">
            <v>10529.79</v>
          </cell>
          <cell r="AS6">
            <v>10789.01</v>
          </cell>
          <cell r="AT6">
            <v>11051.45</v>
          </cell>
          <cell r="AU6">
            <v>11316.46</v>
          </cell>
          <cell r="AV6">
            <v>11577.27</v>
          </cell>
          <cell r="AW6">
            <v>11832.41</v>
          </cell>
          <cell r="AX6">
            <v>12097.87</v>
          </cell>
          <cell r="AY6">
            <v>12366.21</v>
          </cell>
          <cell r="AZ6">
            <v>12636.87</v>
          </cell>
          <cell r="BA6">
            <v>12911.05</v>
          </cell>
          <cell r="BB6">
            <v>13187.99</v>
          </cell>
          <cell r="BC6">
            <v>13464.1</v>
          </cell>
          <cell r="BD6">
            <v>13735.13</v>
          </cell>
          <cell r="BE6">
            <v>14011.89</v>
          </cell>
          <cell r="BF6">
            <v>14287.7</v>
          </cell>
          <cell r="BG6">
            <v>14558.59</v>
          </cell>
          <cell r="BH6">
            <v>14825.4</v>
          </cell>
          <cell r="BI6">
            <v>15085.4</v>
          </cell>
          <cell r="BJ6">
            <v>15337.61</v>
          </cell>
          <cell r="BK6">
            <v>15588.23</v>
          </cell>
          <cell r="BL6">
            <v>15853.53</v>
          </cell>
          <cell r="BM6">
            <v>16125.74</v>
          </cell>
          <cell r="BN6">
            <v>16398.91</v>
          </cell>
          <cell r="BO6">
            <v>16668.68</v>
          </cell>
          <cell r="BP6">
            <v>16939.4</v>
          </cell>
          <cell r="BQ6">
            <v>17202.05</v>
          </cell>
          <cell r="BR6">
            <v>17458.12</v>
          </cell>
          <cell r="BS6">
            <v>17717.48</v>
          </cell>
          <cell r="BT6">
            <v>17977.18</v>
          </cell>
          <cell r="BU6">
            <v>18237.41</v>
          </cell>
          <cell r="BV6">
            <v>18499.43</v>
          </cell>
          <cell r="BW6">
            <v>18764.27</v>
          </cell>
          <cell r="BX6">
            <v>19027.42</v>
          </cell>
          <cell r="BY6">
            <v>19283.1</v>
          </cell>
          <cell r="BZ6">
            <v>19545.13</v>
          </cell>
          <cell r="CA6">
            <v>19807.79</v>
          </cell>
          <cell r="CB6">
            <v>20067.61</v>
          </cell>
          <cell r="CC6">
            <v>20324.52</v>
          </cell>
          <cell r="CD6">
            <v>20578.12</v>
          </cell>
          <cell r="CE6">
            <v>20827.52</v>
          </cell>
          <cell r="CF6">
            <v>21070.74</v>
          </cell>
          <cell r="CG6">
            <v>21319.29</v>
          </cell>
          <cell r="CH6">
            <v>21569.87</v>
          </cell>
          <cell r="CI6">
            <v>21823.08</v>
          </cell>
          <cell r="CJ6">
            <v>22078.33</v>
          </cell>
          <cell r="CK6">
            <v>22336.74</v>
          </cell>
          <cell r="CL6">
            <v>22594.91</v>
          </cell>
          <cell r="CM6">
            <v>22847.67</v>
          </cell>
          <cell r="CN6">
            <v>23102.08</v>
          </cell>
          <cell r="CO6">
            <v>23353.89</v>
          </cell>
          <cell r="CP6">
            <v>23604.96</v>
          </cell>
          <cell r="CQ6">
            <v>23853.04</v>
          </cell>
          <cell r="CR6">
            <v>24079.11</v>
          </cell>
          <cell r="CS6">
            <v>24309.72</v>
          </cell>
          <cell r="CT6">
            <v>24549.33</v>
          </cell>
          <cell r="CU6">
            <v>24797.77</v>
          </cell>
          <cell r="CV6">
            <v>25047.68</v>
          </cell>
          <cell r="CW6">
            <v>25299.61</v>
          </cell>
          <cell r="CX6">
            <v>25551.91</v>
          </cell>
          <cell r="CY6">
            <v>25805.22</v>
          </cell>
          <cell r="CZ6">
            <v>26050.22</v>
          </cell>
          <cell r="DA6">
            <v>26289.1</v>
          </cell>
          <cell r="DB6">
            <v>26535.14</v>
          </cell>
          <cell r="DC6">
            <v>26783.68</v>
          </cell>
          <cell r="DD6">
            <v>27033.45</v>
          </cell>
          <cell r="DE6">
            <v>27286.08</v>
          </cell>
          <cell r="DF6">
            <v>27541.67</v>
          </cell>
          <cell r="DG6">
            <v>27794.03</v>
          </cell>
          <cell r="DH6">
            <v>28041</v>
          </cell>
          <cell r="DI6">
            <v>28295.04</v>
          </cell>
          <cell r="DJ6">
            <v>28548.82</v>
          </cell>
          <cell r="DK6">
            <v>28804.32</v>
          </cell>
          <cell r="DL6">
            <v>29058.7</v>
          </cell>
          <cell r="DM6">
            <v>29309.02</v>
          </cell>
          <cell r="DN6">
            <v>29556.93</v>
          </cell>
          <cell r="DO6">
            <v>29805.01</v>
          </cell>
          <cell r="DP6">
            <v>30054.86</v>
          </cell>
          <cell r="DQ6">
            <v>30305.64</v>
          </cell>
          <cell r="DR6">
            <v>30552.59</v>
          </cell>
          <cell r="DS6">
            <v>30772.61</v>
          </cell>
          <cell r="DT6">
            <v>30993.36</v>
          </cell>
          <cell r="DU6">
            <v>31223.34</v>
          </cell>
          <cell r="DV6">
            <v>31461.32</v>
          </cell>
          <cell r="DW6">
            <v>31706.91</v>
          </cell>
          <cell r="DX6">
            <v>31958.84</v>
          </cell>
          <cell r="DY6">
            <v>32211.73</v>
          </cell>
          <cell r="DZ6">
            <v>32465.64</v>
          </cell>
          <cell r="EA6">
            <v>32717.25</v>
          </cell>
          <cell r="EB6">
            <v>32964.31</v>
          </cell>
          <cell r="EC6">
            <v>33202.27</v>
          </cell>
          <cell r="ED6">
            <v>33448.51</v>
          </cell>
          <cell r="EE6">
            <v>33700.25</v>
          </cell>
          <cell r="EF6">
            <v>33958.03</v>
          </cell>
          <cell r="EG6">
            <v>34217.11</v>
          </cell>
          <cell r="EH6">
            <v>34476.89</v>
          </cell>
          <cell r="EI6">
            <v>34733.98</v>
          </cell>
          <cell r="EJ6">
            <v>34982.66</v>
          </cell>
          <cell r="EK6">
            <v>35244.61</v>
          </cell>
          <cell r="EL6">
            <v>35517.56</v>
          </cell>
          <cell r="EM6">
            <v>35796.45</v>
          </cell>
          <cell r="EN6">
            <v>36070.68</v>
          </cell>
          <cell r="EO6">
            <v>36334.93</v>
          </cell>
          <cell r="EP6">
            <v>36589.46</v>
          </cell>
          <cell r="EQ6">
            <v>36835.71</v>
          </cell>
          <cell r="ER6">
            <v>37088.39</v>
          </cell>
          <cell r="ES6">
            <v>37343.93</v>
          </cell>
          <cell r="ET6">
            <v>37599.98</v>
          </cell>
          <cell r="EU6">
            <v>37856.99</v>
          </cell>
          <cell r="EV6">
            <v>38111.33</v>
          </cell>
          <cell r="EW6">
            <v>38338.16</v>
          </cell>
          <cell r="EX6">
            <v>38569.67</v>
          </cell>
          <cell r="EY6">
            <v>38817.43</v>
          </cell>
          <cell r="EZ6">
            <v>39073.81</v>
          </cell>
          <cell r="FA6">
            <v>39335.58</v>
          </cell>
          <cell r="FB6">
            <v>39604.53</v>
          </cell>
          <cell r="FC6">
            <v>39884.03</v>
          </cell>
          <cell r="FD6">
            <v>40164.07</v>
          </cell>
          <cell r="FE6">
            <v>40437.53</v>
          </cell>
          <cell r="FF6">
            <v>40718.86</v>
          </cell>
          <cell r="FG6">
            <v>41001.43</v>
          </cell>
          <cell r="FH6">
            <v>41284.72</v>
          </cell>
          <cell r="FI6">
            <v>41568.83</v>
          </cell>
          <cell r="FJ6">
            <v>41857.9</v>
          </cell>
          <cell r="FK6">
            <v>42141.64</v>
          </cell>
          <cell r="FL6">
            <v>42410.75</v>
          </cell>
          <cell r="FM6">
            <v>42690.8</v>
          </cell>
          <cell r="FN6">
            <v>42981.73</v>
          </cell>
          <cell r="FO6">
            <v>43276.17</v>
          </cell>
          <cell r="FP6">
            <v>43565.22</v>
          </cell>
          <cell r="FQ6">
            <v>43854.13</v>
          </cell>
          <cell r="FR6">
            <v>44136.77</v>
          </cell>
          <cell r="FS6">
            <v>44410.19</v>
          </cell>
          <cell r="FT6">
            <v>44693.08</v>
          </cell>
          <cell r="FU6">
            <v>44978.88</v>
          </cell>
          <cell r="FV6">
            <v>45267.37</v>
          </cell>
          <cell r="FW6">
            <v>45557.6</v>
          </cell>
          <cell r="FX6">
            <v>45847.44</v>
          </cell>
          <cell r="FY6">
            <v>46134.89</v>
          </cell>
          <cell r="FZ6">
            <v>46414.59</v>
          </cell>
          <cell r="GA6">
            <v>46706.2</v>
          </cell>
          <cell r="GB6">
            <v>47004.24</v>
          </cell>
          <cell r="GC6">
            <v>47314.91</v>
          </cell>
          <cell r="GD6">
            <v>47634.05</v>
          </cell>
          <cell r="GE6">
            <v>47963.23</v>
          </cell>
          <cell r="GF6">
            <v>48289.18</v>
          </cell>
          <cell r="GG6">
            <v>48608.58</v>
          </cell>
          <cell r="GH6">
            <v>48934.52</v>
          </cell>
          <cell r="GI6">
            <v>49258.8</v>
          </cell>
          <cell r="GJ6">
            <v>49582.29</v>
          </cell>
          <cell r="GK6">
            <v>49902.82</v>
          </cell>
          <cell r="GL6">
            <v>50219.3</v>
          </cell>
          <cell r="GM6">
            <v>50531.12</v>
          </cell>
          <cell r="GN6">
            <v>50839.63</v>
          </cell>
          <cell r="GO6">
            <v>51164.95</v>
          </cell>
          <cell r="GP6">
            <v>51495.08</v>
          </cell>
          <cell r="GQ6">
            <v>51832.38</v>
          </cell>
          <cell r="GR6">
            <v>52171.19</v>
          </cell>
          <cell r="GS6">
            <v>52506.6</v>
          </cell>
          <cell r="GT6">
            <v>52832.4</v>
          </cell>
          <cell r="GU6">
            <v>53143.79</v>
          </cell>
          <cell r="GV6">
            <v>53461.37</v>
          </cell>
          <cell r="GW6">
            <v>53778.43</v>
          </cell>
          <cell r="GX6">
            <v>54095.4</v>
          </cell>
          <cell r="GY6">
            <v>54416.88</v>
          </cell>
          <cell r="GZ6">
            <v>54742.27</v>
          </cell>
          <cell r="HA6">
            <v>55064.26</v>
          </cell>
          <cell r="HB6">
            <v>55381.81</v>
          </cell>
          <cell r="HC6">
            <v>55710.57</v>
          </cell>
          <cell r="HD6">
            <v>56037.15</v>
          </cell>
          <cell r="HE6">
            <v>56360.24</v>
          </cell>
          <cell r="HF6">
            <v>56677.91</v>
          </cell>
          <cell r="HG6">
            <v>56998.16</v>
          </cell>
          <cell r="HH6">
            <v>57317.88</v>
          </cell>
          <cell r="HI6">
            <v>57636.95</v>
          </cell>
          <cell r="HJ6">
            <v>57969.54</v>
          </cell>
        </row>
        <row r="7">
          <cell r="C7">
            <v>0.051</v>
          </cell>
          <cell r="D7">
            <v>0.0451</v>
          </cell>
          <cell r="E7">
            <v>0.0416</v>
          </cell>
          <cell r="F7">
            <v>0.036</v>
          </cell>
          <cell r="G7">
            <v>0.0297</v>
          </cell>
          <cell r="H7">
            <v>0.0323</v>
          </cell>
          <cell r="I7">
            <v>0.0374</v>
          </cell>
          <cell r="J7">
            <v>0.038</v>
          </cell>
          <cell r="K7">
            <v>0.0413</v>
          </cell>
          <cell r="L7">
            <v>0.0437</v>
          </cell>
          <cell r="M7">
            <v>0.0445</v>
          </cell>
          <cell r="N7">
            <v>0.0437</v>
          </cell>
          <cell r="O7">
            <v>0.0451</v>
          </cell>
          <cell r="P7">
            <v>0.0478</v>
          </cell>
          <cell r="Q7">
            <v>0.0475</v>
          </cell>
          <cell r="R7">
            <v>0.0454</v>
          </cell>
          <cell r="S7">
            <v>0.0432</v>
          </cell>
          <cell r="T7">
            <v>0.0391</v>
          </cell>
          <cell r="U7">
            <v>0.0328</v>
          </cell>
          <cell r="V7">
            <v>0.0274</v>
          </cell>
          <cell r="W7">
            <v>0.0215</v>
          </cell>
          <cell r="X7">
            <v>0.0123</v>
          </cell>
          <cell r="Y7">
            <v>0.0025</v>
          </cell>
          <cell r="Z7">
            <v>-0.0069</v>
          </cell>
          <cell r="AA7">
            <v>-0.0154</v>
          </cell>
          <cell r="AB7">
            <v>-0.0228</v>
          </cell>
          <cell r="AC7">
            <v>-0.029</v>
          </cell>
          <cell r="AD7">
            <v>-0.0344</v>
          </cell>
          <cell r="AE7">
            <v>-0.0412</v>
          </cell>
          <cell r="AF7">
            <v>-0.0471</v>
          </cell>
          <cell r="AG7">
            <v>-0.0515</v>
          </cell>
          <cell r="AH7">
            <v>-0.0552</v>
          </cell>
          <cell r="AI7">
            <v>-0.0582</v>
          </cell>
          <cell r="AJ7">
            <v>-0.0601</v>
          </cell>
          <cell r="AK7">
            <v>-0.0613</v>
          </cell>
          <cell r="AL7">
            <v>-0.0606</v>
          </cell>
          <cell r="AM7">
            <v>-0.0583</v>
          </cell>
          <cell r="AN7">
            <v>-0.0542</v>
          </cell>
          <cell r="AO7">
            <v>-0.0487</v>
          </cell>
          <cell r="AP7">
            <v>-0.0429</v>
          </cell>
          <cell r="AQ7">
            <v>-0.0354</v>
          </cell>
          <cell r="AR7">
            <v>-0.0275</v>
          </cell>
          <cell r="AS7">
            <v>-0.0199</v>
          </cell>
          <cell r="AT7">
            <v>-0.0122</v>
          </cell>
          <cell r="AU7">
            <v>-0.0047</v>
          </cell>
          <cell r="AV7">
            <v>0.0016</v>
          </cell>
          <cell r="AW7">
            <v>0.0068</v>
          </cell>
          <cell r="AX7">
            <v>0.0123</v>
          </cell>
          <cell r="AY7">
            <v>0.0172</v>
          </cell>
          <cell r="AZ7">
            <v>0.0211</v>
          </cell>
          <cell r="BA7">
            <v>0.0239</v>
          </cell>
          <cell r="BB7">
            <v>0.0259</v>
          </cell>
          <cell r="BC7">
            <v>0.027</v>
          </cell>
          <cell r="BD7">
            <v>0.0272</v>
          </cell>
          <cell r="BE7">
            <v>0.0283</v>
          </cell>
          <cell r="BF7">
            <v>0.0294</v>
          </cell>
          <cell r="BG7">
            <v>0.0295</v>
          </cell>
          <cell r="BH7">
            <v>0.0293</v>
          </cell>
          <cell r="BI7">
            <v>0.0285</v>
          </cell>
          <cell r="BJ7">
            <v>0.0091</v>
          </cell>
          <cell r="BK7">
            <v>0.0083</v>
          </cell>
          <cell r="BL7">
            <v>0.009</v>
          </cell>
          <cell r="BM7">
            <v>0.0097</v>
          </cell>
          <cell r="BN7">
            <v>0.0103</v>
          </cell>
          <cell r="BO7">
            <v>0.0108</v>
          </cell>
          <cell r="BP7">
            <v>0.0114</v>
          </cell>
          <cell r="BQ7">
            <v>0.0117</v>
          </cell>
          <cell r="BR7">
            <v>0.0118</v>
          </cell>
          <cell r="BS7">
            <v>0.0125</v>
          </cell>
          <cell r="BT7">
            <v>0.0131</v>
          </cell>
          <cell r="BU7">
            <v>0.0137</v>
          </cell>
          <cell r="BV7">
            <v>0.0143</v>
          </cell>
          <cell r="BW7">
            <v>0.015</v>
          </cell>
          <cell r="BX7">
            <v>0.0158</v>
          </cell>
          <cell r="BY7">
            <v>0.0164</v>
          </cell>
          <cell r="BZ7">
            <v>0.0175</v>
          </cell>
          <cell r="CA7">
            <v>0.0182</v>
          </cell>
          <cell r="CB7">
            <v>0.0188</v>
          </cell>
          <cell r="CC7">
            <v>0.0193</v>
          </cell>
          <cell r="CD7">
            <v>0.0197</v>
          </cell>
          <cell r="CE7">
            <v>0.0198</v>
          </cell>
          <cell r="CF7">
            <v>0.0198</v>
          </cell>
          <cell r="CG7">
            <v>0.0202</v>
          </cell>
          <cell r="CH7">
            <v>0.0204</v>
          </cell>
          <cell r="CI7">
            <v>0.0207</v>
          </cell>
          <cell r="CJ7">
            <v>0.0209</v>
          </cell>
          <cell r="CK7">
            <v>0.0214</v>
          </cell>
          <cell r="CL7">
            <v>0.022</v>
          </cell>
          <cell r="CM7">
            <v>0.0224</v>
          </cell>
          <cell r="CN7">
            <v>0.0231</v>
          </cell>
          <cell r="CO7">
            <v>0.0235</v>
          </cell>
          <cell r="CP7">
            <v>0.0237</v>
          </cell>
          <cell r="CQ7">
            <v>0.0238</v>
          </cell>
          <cell r="CR7">
            <v>0.024</v>
          </cell>
          <cell r="CS7">
            <v>0.0241</v>
          </cell>
          <cell r="CT7">
            <v>0.0242</v>
          </cell>
          <cell r="CU7">
            <v>0.0245</v>
          </cell>
          <cell r="CV7">
            <v>0.0247</v>
          </cell>
          <cell r="CW7">
            <v>0.0251</v>
          </cell>
          <cell r="CX7">
            <v>0.0255</v>
          </cell>
          <cell r="CY7">
            <v>0.0258</v>
          </cell>
          <cell r="CZ7">
            <v>0.0258</v>
          </cell>
          <cell r="DA7">
            <v>0.0256</v>
          </cell>
          <cell r="DB7">
            <v>0.0259</v>
          </cell>
          <cell r="DC7">
            <v>0.0259</v>
          </cell>
          <cell r="DD7">
            <v>0.026</v>
          </cell>
          <cell r="DE7">
            <v>0.0262</v>
          </cell>
          <cell r="DF7">
            <v>0.0265</v>
          </cell>
          <cell r="DG7">
            <v>0.0267</v>
          </cell>
          <cell r="DH7">
            <v>0.0268</v>
          </cell>
          <cell r="DI7">
            <v>0.0275</v>
          </cell>
          <cell r="DJ7">
            <v>0.0279</v>
          </cell>
          <cell r="DK7">
            <v>0.0282</v>
          </cell>
          <cell r="DL7">
            <v>0.0285</v>
          </cell>
          <cell r="DM7">
            <v>0.0287</v>
          </cell>
          <cell r="DN7">
            <v>0.0286</v>
          </cell>
          <cell r="DO7">
            <v>0.0286</v>
          </cell>
          <cell r="DP7">
            <v>0.0287</v>
          </cell>
          <cell r="DQ7">
            <v>0.0288</v>
          </cell>
          <cell r="DR7">
            <v>0.0289</v>
          </cell>
          <cell r="DS7">
            <v>0.0291</v>
          </cell>
          <cell r="DT7">
            <v>0.0293</v>
          </cell>
          <cell r="DU7">
            <v>0.0294</v>
          </cell>
          <cell r="DV7">
            <v>0.0296</v>
          </cell>
          <cell r="DW7">
            <v>0.0298</v>
          </cell>
          <cell r="DX7">
            <v>0.0301</v>
          </cell>
          <cell r="DY7">
            <v>0.0302</v>
          </cell>
          <cell r="DZ7">
            <v>0.0304</v>
          </cell>
          <cell r="EA7">
            <v>0.0305</v>
          </cell>
          <cell r="EB7">
            <v>0.0305</v>
          </cell>
          <cell r="EC7">
            <v>0.0301</v>
          </cell>
          <cell r="ED7">
            <v>0.0303</v>
          </cell>
          <cell r="EE7">
            <v>0.0304</v>
          </cell>
          <cell r="EF7">
            <v>0.0306</v>
          </cell>
          <cell r="EG7">
            <v>0.0309</v>
          </cell>
          <cell r="EH7">
            <v>0.0312</v>
          </cell>
          <cell r="EI7">
            <v>0.0312</v>
          </cell>
          <cell r="EJ7">
            <v>0.031</v>
          </cell>
          <cell r="EK7">
            <v>0.0315</v>
          </cell>
          <cell r="EL7">
            <v>0.032</v>
          </cell>
          <cell r="EM7">
            <v>0.0327</v>
          </cell>
          <cell r="EN7">
            <v>0.0332</v>
          </cell>
          <cell r="EO7">
            <v>0.0333</v>
          </cell>
          <cell r="EP7">
            <v>0.033</v>
          </cell>
          <cell r="EQ7">
            <v>0.0326</v>
          </cell>
          <cell r="ER7">
            <v>0.0325</v>
          </cell>
          <cell r="ES7">
            <v>0.0324</v>
          </cell>
          <cell r="ET7">
            <v>0.0324</v>
          </cell>
          <cell r="EU7">
            <v>0.0325</v>
          </cell>
          <cell r="EV7">
            <v>0.0325</v>
          </cell>
          <cell r="EW7">
            <v>0.0317</v>
          </cell>
          <cell r="EX7">
            <v>0.0312</v>
          </cell>
          <cell r="EY7">
            <v>0.0313</v>
          </cell>
          <cell r="EZ7">
            <v>0.0313</v>
          </cell>
          <cell r="FA7">
            <v>0.0314</v>
          </cell>
          <cell r="FB7">
            <v>0.0318</v>
          </cell>
          <cell r="FC7">
            <v>0.0323</v>
          </cell>
          <cell r="FD7">
            <v>0.0329</v>
          </cell>
          <cell r="FE7">
            <v>0.0334</v>
          </cell>
          <cell r="FF7">
            <v>0.0342</v>
          </cell>
          <cell r="FG7">
            <v>0.0352</v>
          </cell>
          <cell r="FH7">
            <v>0.0357</v>
          </cell>
          <cell r="FI7">
            <v>0.0358</v>
          </cell>
          <cell r="FJ7">
            <v>0.0357</v>
          </cell>
          <cell r="FK7">
            <v>0.0356</v>
          </cell>
          <cell r="FL7">
            <v>0.0351</v>
          </cell>
          <cell r="FM7">
            <v>0.0352</v>
          </cell>
          <cell r="FN7">
            <v>0.0354</v>
          </cell>
          <cell r="FO7">
            <v>0.0356</v>
          </cell>
          <cell r="FP7">
            <v>0.0357</v>
          </cell>
          <cell r="FQ7">
            <v>0.0356</v>
          </cell>
          <cell r="FR7">
            <v>0.0354</v>
          </cell>
          <cell r="FS7">
            <v>0.0351</v>
          </cell>
          <cell r="FT7">
            <v>0.0352</v>
          </cell>
          <cell r="FU7">
            <v>0.0352</v>
          </cell>
          <cell r="FV7">
            <v>0.0353</v>
          </cell>
          <cell r="FW7">
            <v>0.0355</v>
          </cell>
          <cell r="FX7">
            <v>0.0356</v>
          </cell>
          <cell r="FY7">
            <v>0.0357</v>
          </cell>
          <cell r="FZ7">
            <v>0.0356</v>
          </cell>
          <cell r="GA7">
            <v>0.0358</v>
          </cell>
          <cell r="GB7">
            <v>0.0362</v>
          </cell>
          <cell r="GC7">
            <v>0.0368</v>
          </cell>
          <cell r="GD7">
            <v>0.0376</v>
          </cell>
          <cell r="GE7">
            <v>0.0383</v>
          </cell>
          <cell r="GF7">
            <v>0.0389</v>
          </cell>
          <cell r="GG7">
            <v>0.0392</v>
          </cell>
          <cell r="GH7">
            <v>0.0397</v>
          </cell>
          <cell r="GI7">
            <v>0.04</v>
          </cell>
          <cell r="GJ7">
            <v>0.0404</v>
          </cell>
          <cell r="GK7">
            <v>0.0406</v>
          </cell>
          <cell r="GL7">
            <v>0.0409</v>
          </cell>
          <cell r="GM7">
            <v>0.041</v>
          </cell>
          <cell r="GN7">
            <v>0.0412</v>
          </cell>
          <cell r="GO7">
            <v>0.042</v>
          </cell>
          <cell r="GP7">
            <v>0.0425</v>
          </cell>
          <cell r="GQ7">
            <v>0.0431</v>
          </cell>
          <cell r="GR7">
            <v>0.0436</v>
          </cell>
          <cell r="GS7">
            <v>0.044</v>
          </cell>
          <cell r="GT7">
            <v>0.0441</v>
          </cell>
          <cell r="GU7">
            <v>0.044</v>
          </cell>
          <cell r="GV7">
            <v>0.044</v>
          </cell>
          <cell r="GW7">
            <v>0.0437</v>
          </cell>
          <cell r="GX7">
            <v>0.0433</v>
          </cell>
          <cell r="GY7">
            <v>0.043</v>
          </cell>
          <cell r="GZ7">
            <v>0.0429</v>
          </cell>
          <cell r="HA7">
            <v>0.0429</v>
          </cell>
          <cell r="HB7">
            <v>0.043</v>
          </cell>
          <cell r="HC7">
            <v>0.0436</v>
          </cell>
          <cell r="HD7">
            <v>0.0439</v>
          </cell>
          <cell r="HE7">
            <v>0.0441</v>
          </cell>
          <cell r="HF7">
            <v>0.0441</v>
          </cell>
          <cell r="HG7">
            <v>0.044</v>
          </cell>
          <cell r="HH7">
            <v>0.0438</v>
          </cell>
          <cell r="HI7">
            <v>0.0436</v>
          </cell>
          <cell r="HJ7">
            <v>0.0438</v>
          </cell>
        </row>
        <row r="11">
          <cell r="C11">
            <v>11.1</v>
          </cell>
          <cell r="D11">
            <v>12.19</v>
          </cell>
          <cell r="E11">
            <v>12.33</v>
          </cell>
          <cell r="F11">
            <v>12.19</v>
          </cell>
          <cell r="G11">
            <v>11.8</v>
          </cell>
          <cell r="H11">
            <v>12.29</v>
          </cell>
          <cell r="I11">
            <v>12.42</v>
          </cell>
          <cell r="J11">
            <v>12.53</v>
          </cell>
          <cell r="K11">
            <v>12.75</v>
          </cell>
          <cell r="L11">
            <v>12.81</v>
          </cell>
          <cell r="M11">
            <v>12.48</v>
          </cell>
          <cell r="N11">
            <v>12.1</v>
          </cell>
          <cell r="O11">
            <v>12.36</v>
          </cell>
          <cell r="P11">
            <v>12.2</v>
          </cell>
          <cell r="Q11">
            <v>12.28</v>
          </cell>
          <cell r="R11">
            <v>12.15</v>
          </cell>
          <cell r="S11">
            <v>11.94</v>
          </cell>
          <cell r="T11">
            <v>11.45</v>
          </cell>
          <cell r="U11">
            <v>11.08</v>
          </cell>
          <cell r="V11">
            <v>11.07</v>
          </cell>
          <cell r="W11">
            <v>10.74</v>
          </cell>
          <cell r="X11">
            <v>10.5</v>
          </cell>
          <cell r="Y11">
            <v>10.34</v>
          </cell>
          <cell r="Z11">
            <v>10.12</v>
          </cell>
          <cell r="AA11">
            <v>10.01</v>
          </cell>
          <cell r="AB11">
            <v>10.07</v>
          </cell>
          <cell r="AC11">
            <v>10.07</v>
          </cell>
          <cell r="AD11">
            <v>9.8</v>
          </cell>
          <cell r="AE11">
            <v>8.93</v>
          </cell>
          <cell r="AF11">
            <v>8.99</v>
          </cell>
          <cell r="AG11">
            <v>9.22</v>
          </cell>
          <cell r="AH11">
            <v>9.43</v>
          </cell>
          <cell r="AI11">
            <v>9.52</v>
          </cell>
          <cell r="AJ11">
            <v>9.81</v>
          </cell>
          <cell r="AK11">
            <v>9.97</v>
          </cell>
          <cell r="AL11">
            <v>10.55</v>
          </cell>
          <cell r="AM11">
            <v>10.89</v>
          </cell>
          <cell r="AN11">
            <v>11.72</v>
          </cell>
          <cell r="AO11">
            <v>11.84</v>
          </cell>
          <cell r="AP11">
            <v>11.59</v>
          </cell>
          <cell r="AQ11">
            <v>11.65</v>
          </cell>
          <cell r="AR11">
            <v>11.78</v>
          </cell>
          <cell r="AS11">
            <v>11.45</v>
          </cell>
          <cell r="AT11">
            <v>11.61</v>
          </cell>
          <cell r="AU11">
            <v>11.81</v>
          </cell>
          <cell r="AV11">
            <v>11.47</v>
          </cell>
          <cell r="AW11">
            <v>11.14</v>
          </cell>
          <cell r="AX11">
            <v>11.8</v>
          </cell>
          <cell r="AY11">
            <v>11.85</v>
          </cell>
          <cell r="AZ11">
            <v>11.97</v>
          </cell>
          <cell r="BA11">
            <v>12.23</v>
          </cell>
          <cell r="BB11">
            <v>12.35</v>
          </cell>
          <cell r="BC11">
            <v>12.22</v>
          </cell>
          <cell r="BD11">
            <v>11.91</v>
          </cell>
          <cell r="BE11">
            <v>12.27</v>
          </cell>
          <cell r="BF11">
            <v>12.23</v>
          </cell>
          <cell r="BG11">
            <v>11.91</v>
          </cell>
          <cell r="BH11">
            <v>11.73</v>
          </cell>
          <cell r="BI11">
            <v>11.38</v>
          </cell>
          <cell r="BJ11">
            <v>11.03</v>
          </cell>
          <cell r="BK11">
            <v>10.95</v>
          </cell>
          <cell r="BL11">
            <v>11.92</v>
          </cell>
          <cell r="BM11">
            <v>12.22</v>
          </cell>
          <cell r="BN11">
            <v>12.18</v>
          </cell>
          <cell r="BO11">
            <v>11.91</v>
          </cell>
          <cell r="BP11">
            <v>11.96</v>
          </cell>
          <cell r="BQ11">
            <v>11.42</v>
          </cell>
          <cell r="BR11">
            <v>11.15</v>
          </cell>
          <cell r="BS11">
            <v>11.5</v>
          </cell>
          <cell r="BT11">
            <v>11.36</v>
          </cell>
          <cell r="BU11">
            <v>11.44</v>
          </cell>
          <cell r="BV11">
            <v>11.56</v>
          </cell>
          <cell r="BW11">
            <v>11.74</v>
          </cell>
          <cell r="BX11">
            <v>11.6</v>
          </cell>
          <cell r="BY11">
            <v>11.23</v>
          </cell>
          <cell r="BZ11">
            <v>11.51</v>
          </cell>
          <cell r="CA11">
            <v>11.46</v>
          </cell>
          <cell r="CB11">
            <v>11.33</v>
          </cell>
          <cell r="CC11">
            <v>11.16</v>
          </cell>
          <cell r="CD11">
            <v>11.01</v>
          </cell>
          <cell r="CE11">
            <v>10.84</v>
          </cell>
          <cell r="CF11">
            <v>10.46</v>
          </cell>
          <cell r="CG11">
            <v>10.89</v>
          </cell>
          <cell r="CH11">
            <v>10.9</v>
          </cell>
          <cell r="CI11">
            <v>11.03</v>
          </cell>
          <cell r="CJ11">
            <v>11.22</v>
          </cell>
          <cell r="CK11">
            <v>11.38</v>
          </cell>
          <cell r="CL11">
            <v>11.35</v>
          </cell>
          <cell r="CM11">
            <v>10.95</v>
          </cell>
          <cell r="CN11">
            <v>11.19</v>
          </cell>
          <cell r="CO11">
            <v>10.95</v>
          </cell>
          <cell r="CP11">
            <v>10.93</v>
          </cell>
          <cell r="CQ11">
            <v>10.73</v>
          </cell>
          <cell r="CR11">
            <v>9.62</v>
          </cell>
          <cell r="CS11">
            <v>10.13</v>
          </cell>
          <cell r="CT11">
            <v>10.47</v>
          </cell>
          <cell r="CU11">
            <v>10.87</v>
          </cell>
          <cell r="CV11">
            <v>10.97</v>
          </cell>
          <cell r="CW11">
            <v>11.03</v>
          </cell>
          <cell r="CX11">
            <v>11.01</v>
          </cell>
          <cell r="CY11">
            <v>11.16</v>
          </cell>
          <cell r="CZ11">
            <v>10.86</v>
          </cell>
          <cell r="DA11">
            <v>10.34</v>
          </cell>
          <cell r="DB11">
            <v>10.82</v>
          </cell>
          <cell r="DC11">
            <v>10.87</v>
          </cell>
          <cell r="DD11">
            <v>10.93</v>
          </cell>
          <cell r="DE11">
            <v>11.13</v>
          </cell>
          <cell r="DF11">
            <v>11.27</v>
          </cell>
          <cell r="DG11">
            <v>11.08</v>
          </cell>
          <cell r="DH11">
            <v>10.62</v>
          </cell>
          <cell r="DI11">
            <v>11.31</v>
          </cell>
          <cell r="DJ11">
            <v>11.14</v>
          </cell>
          <cell r="DK11">
            <v>11.19</v>
          </cell>
          <cell r="DL11">
            <v>11.24</v>
          </cell>
          <cell r="DM11">
            <v>11.04</v>
          </cell>
          <cell r="DN11">
            <v>10.88</v>
          </cell>
          <cell r="DO11">
            <v>10.93</v>
          </cell>
          <cell r="DP11">
            <v>11.02</v>
          </cell>
          <cell r="DQ11">
            <v>11.02</v>
          </cell>
          <cell r="DR11">
            <v>10.98</v>
          </cell>
          <cell r="DS11">
            <v>9.35</v>
          </cell>
          <cell r="DT11">
            <v>9.63</v>
          </cell>
          <cell r="DU11">
            <v>9.96</v>
          </cell>
          <cell r="DV11">
            <v>10.39</v>
          </cell>
          <cell r="DW11">
            <v>10.79</v>
          </cell>
          <cell r="DX11">
            <v>11.12</v>
          </cell>
          <cell r="DY11">
            <v>11.14</v>
          </cell>
          <cell r="DZ11">
            <v>11.23</v>
          </cell>
          <cell r="EA11">
            <v>11.12</v>
          </cell>
          <cell r="EB11">
            <v>10.83</v>
          </cell>
          <cell r="EC11">
            <v>10.26</v>
          </cell>
          <cell r="ED11">
            <v>10.87</v>
          </cell>
          <cell r="EE11">
            <v>11.06</v>
          </cell>
          <cell r="EF11">
            <v>11.37</v>
          </cell>
          <cell r="EG11">
            <v>11.45</v>
          </cell>
          <cell r="EH11">
            <v>11.47</v>
          </cell>
          <cell r="EI11">
            <v>11.3</v>
          </cell>
          <cell r="EJ11">
            <v>10.74</v>
          </cell>
          <cell r="EK11">
            <v>11.63</v>
          </cell>
          <cell r="EL11">
            <v>12.09</v>
          </cell>
          <cell r="EM11">
            <v>12.29</v>
          </cell>
          <cell r="EN11">
            <v>12.17</v>
          </cell>
          <cell r="EO11">
            <v>11.69</v>
          </cell>
          <cell r="EP11">
            <v>11.12</v>
          </cell>
          <cell r="EQ11">
            <v>10.68</v>
          </cell>
          <cell r="ER11">
            <v>11.14</v>
          </cell>
          <cell r="ES11">
            <v>11.28</v>
          </cell>
          <cell r="ET11">
            <v>11.28</v>
          </cell>
          <cell r="EU11">
            <v>11.31</v>
          </cell>
          <cell r="EV11">
            <v>11.22</v>
          </cell>
          <cell r="EW11">
            <v>9.57</v>
          </cell>
          <cell r="EX11">
            <v>10.13</v>
          </cell>
          <cell r="EY11">
            <v>10.92</v>
          </cell>
          <cell r="EZ11">
            <v>11.25</v>
          </cell>
          <cell r="FA11">
            <v>11.5</v>
          </cell>
          <cell r="FB11">
            <v>11.81</v>
          </cell>
          <cell r="FC11">
            <v>12.23</v>
          </cell>
          <cell r="FD11">
            <v>12.25</v>
          </cell>
          <cell r="FE11">
            <v>11.86</v>
          </cell>
          <cell r="FF11">
            <v>12.49</v>
          </cell>
          <cell r="FG11">
            <v>12.37</v>
          </cell>
          <cell r="FH11">
            <v>12.49</v>
          </cell>
          <cell r="FI11">
            <v>12.47</v>
          </cell>
          <cell r="FJ11">
            <v>12.72</v>
          </cell>
          <cell r="FK11">
            <v>12.6</v>
          </cell>
          <cell r="FL11">
            <v>11.63</v>
          </cell>
          <cell r="FM11">
            <v>12.34</v>
          </cell>
          <cell r="FN11">
            <v>12.8</v>
          </cell>
          <cell r="FO11">
            <v>13.1</v>
          </cell>
          <cell r="FP11">
            <v>12.85</v>
          </cell>
          <cell r="FQ11">
            <v>12.82</v>
          </cell>
          <cell r="FR11">
            <v>12.51</v>
          </cell>
          <cell r="FS11">
            <v>11.9</v>
          </cell>
          <cell r="FT11">
            <v>12.66</v>
          </cell>
          <cell r="FU11">
            <v>12.66</v>
          </cell>
          <cell r="FV11">
            <v>12.72</v>
          </cell>
          <cell r="FW11">
            <v>12.86</v>
          </cell>
          <cell r="FX11">
            <v>13.01</v>
          </cell>
          <cell r="FY11">
            <v>12.71</v>
          </cell>
          <cell r="FZ11">
            <v>12.23</v>
          </cell>
          <cell r="GA11">
            <v>13.12</v>
          </cell>
          <cell r="GB11">
            <v>13.23</v>
          </cell>
          <cell r="GC11">
            <v>13.84</v>
          </cell>
          <cell r="GD11">
            <v>14.24</v>
          </cell>
          <cell r="GE11">
            <v>14.65</v>
          </cell>
          <cell r="GF11">
            <v>14.31</v>
          </cell>
          <cell r="GG11">
            <v>13.89</v>
          </cell>
          <cell r="GH11">
            <v>14.67</v>
          </cell>
          <cell r="GI11">
            <v>14.48</v>
          </cell>
          <cell r="GJ11">
            <v>14.51</v>
          </cell>
          <cell r="GK11">
            <v>14.42</v>
          </cell>
          <cell r="GL11">
            <v>14.3</v>
          </cell>
          <cell r="GM11">
            <v>13.91</v>
          </cell>
          <cell r="GN11">
            <v>13.48</v>
          </cell>
          <cell r="GO11">
            <v>14.62</v>
          </cell>
          <cell r="GP11">
            <v>14.65</v>
          </cell>
          <cell r="GQ11">
            <v>15.07</v>
          </cell>
          <cell r="GR11">
            <v>15.08</v>
          </cell>
          <cell r="GS11">
            <v>15.04</v>
          </cell>
          <cell r="GT11">
            <v>14.47</v>
          </cell>
          <cell r="GU11">
            <v>13.56</v>
          </cell>
          <cell r="GV11">
            <v>14.37</v>
          </cell>
          <cell r="GW11">
            <v>14.24</v>
          </cell>
          <cell r="GX11">
            <v>14.31</v>
          </cell>
          <cell r="GY11">
            <v>14.51</v>
          </cell>
          <cell r="GZ11">
            <v>14.64</v>
          </cell>
          <cell r="HA11">
            <v>14.27</v>
          </cell>
          <cell r="HB11">
            <v>13.91</v>
          </cell>
          <cell r="HC11">
            <v>14.82</v>
          </cell>
          <cell r="HD11">
            <v>14.62</v>
          </cell>
          <cell r="HE11">
            <v>14.42</v>
          </cell>
          <cell r="HF11">
            <v>14.15</v>
          </cell>
          <cell r="HG11">
            <v>14.35</v>
          </cell>
          <cell r="HH11">
            <v>14.18</v>
          </cell>
          <cell r="HI11">
            <v>14.01</v>
          </cell>
          <cell r="HJ11">
            <v>15.01</v>
          </cell>
        </row>
        <row r="14">
          <cell r="C14">
            <v>9.17</v>
          </cell>
          <cell r="D14">
            <v>8.85</v>
          </cell>
          <cell r="E14">
            <v>9.48</v>
          </cell>
          <cell r="F14">
            <v>9.52</v>
          </cell>
          <cell r="G14">
            <v>9.41</v>
          </cell>
          <cell r="H14">
            <v>9.32</v>
          </cell>
          <cell r="I14">
            <v>9.54</v>
          </cell>
          <cell r="J14">
            <v>9.59</v>
          </cell>
          <cell r="K14">
            <v>9.68</v>
          </cell>
          <cell r="L14">
            <v>9.79</v>
          </cell>
          <cell r="M14">
            <v>9.76</v>
          </cell>
          <cell r="N14">
            <v>9.62</v>
          </cell>
          <cell r="O14">
            <v>9.39</v>
          </cell>
          <cell r="P14">
            <v>9.39</v>
          </cell>
          <cell r="Q14">
            <v>9.42</v>
          </cell>
          <cell r="R14">
            <v>9.37</v>
          </cell>
          <cell r="S14">
            <v>9.27</v>
          </cell>
          <cell r="T14">
            <v>9.05</v>
          </cell>
          <cell r="U14">
            <v>8.82</v>
          </cell>
          <cell r="V14">
            <v>8.59</v>
          </cell>
          <cell r="W14">
            <v>8.47</v>
          </cell>
          <cell r="X14">
            <v>8.23</v>
          </cell>
          <cell r="Y14">
            <v>8.01</v>
          </cell>
          <cell r="Z14">
            <v>7.84</v>
          </cell>
          <cell r="AA14">
            <v>7.64</v>
          </cell>
          <cell r="AB14">
            <v>7.42</v>
          </cell>
          <cell r="AC14">
            <v>7.4</v>
          </cell>
          <cell r="AD14">
            <v>7.16</v>
          </cell>
          <cell r="AE14">
            <v>7.17</v>
          </cell>
          <cell r="AF14">
            <v>6.85</v>
          </cell>
          <cell r="AG14">
            <v>6.87</v>
          </cell>
          <cell r="AH14">
            <v>6.96</v>
          </cell>
          <cell r="AI14">
            <v>7.07</v>
          </cell>
          <cell r="AJ14">
            <v>7.21</v>
          </cell>
          <cell r="AK14">
            <v>7.4</v>
          </cell>
          <cell r="AL14">
            <v>7.53</v>
          </cell>
          <cell r="AM14">
            <v>7.92</v>
          </cell>
          <cell r="AN14">
            <v>8.24</v>
          </cell>
          <cell r="AO14">
            <v>8.64</v>
          </cell>
          <cell r="AP14">
            <v>8.78</v>
          </cell>
          <cell r="AQ14">
            <v>8.69</v>
          </cell>
          <cell r="AR14">
            <v>8.69</v>
          </cell>
          <cell r="AS14">
            <v>8.68</v>
          </cell>
          <cell r="AT14">
            <v>8.74</v>
          </cell>
          <cell r="AU14">
            <v>8.86</v>
          </cell>
          <cell r="AV14">
            <v>8.88</v>
          </cell>
          <cell r="AW14">
            <v>8.8</v>
          </cell>
          <cell r="AX14">
            <v>8.76</v>
          </cell>
          <cell r="AY14">
            <v>9.08</v>
          </cell>
          <cell r="AZ14">
            <v>9.14</v>
          </cell>
          <cell r="BA14">
            <v>9.22</v>
          </cell>
          <cell r="BB14">
            <v>9.33</v>
          </cell>
          <cell r="BC14">
            <v>9.38</v>
          </cell>
          <cell r="BD14">
            <v>9.34</v>
          </cell>
          <cell r="BE14">
            <v>9.27</v>
          </cell>
          <cell r="BF14">
            <v>9.37</v>
          </cell>
          <cell r="BG14">
            <v>9.36</v>
          </cell>
          <cell r="BH14">
            <v>9.2</v>
          </cell>
          <cell r="BI14">
            <v>9.05</v>
          </cell>
          <cell r="BJ14">
            <v>8.84</v>
          </cell>
          <cell r="BK14">
            <v>8.72</v>
          </cell>
          <cell r="BL14">
            <v>8.81</v>
          </cell>
          <cell r="BM14">
            <v>9.23</v>
          </cell>
          <cell r="BN14">
            <v>9.3</v>
          </cell>
          <cell r="BO14">
            <v>9.27</v>
          </cell>
          <cell r="BP14">
            <v>9.26</v>
          </cell>
          <cell r="BQ14">
            <v>9.24</v>
          </cell>
          <cell r="BR14">
            <v>9.02</v>
          </cell>
          <cell r="BS14">
            <v>8.79</v>
          </cell>
          <cell r="BT14">
            <v>8.93</v>
          </cell>
          <cell r="BU14">
            <v>8.95</v>
          </cell>
          <cell r="BV14">
            <v>9.02</v>
          </cell>
          <cell r="BW14">
            <v>9.08</v>
          </cell>
          <cell r="BX14">
            <v>9.13</v>
          </cell>
          <cell r="BY14">
            <v>9.04</v>
          </cell>
          <cell r="BZ14">
            <v>8.9</v>
          </cell>
          <cell r="CA14">
            <v>9.12</v>
          </cell>
          <cell r="CB14">
            <v>9.1</v>
          </cell>
          <cell r="CC14">
            <v>8.97</v>
          </cell>
          <cell r="CD14">
            <v>8.87</v>
          </cell>
          <cell r="CE14">
            <v>8.77</v>
          </cell>
          <cell r="CF14">
            <v>8.62</v>
          </cell>
          <cell r="CG14">
            <v>8.47</v>
          </cell>
          <cell r="CH14">
            <v>8.68</v>
          </cell>
          <cell r="CI14">
            <v>8.7</v>
          </cell>
          <cell r="CJ14">
            <v>8.79</v>
          </cell>
          <cell r="CK14">
            <v>8.9</v>
          </cell>
          <cell r="CL14">
            <v>8.96</v>
          </cell>
          <cell r="CM14">
            <v>8.86</v>
          </cell>
          <cell r="CN14">
            <v>8.7</v>
          </cell>
          <cell r="CO14">
            <v>8.74</v>
          </cell>
          <cell r="CP14">
            <v>8.72</v>
          </cell>
          <cell r="CQ14">
            <v>8.7</v>
          </cell>
          <cell r="CR14">
            <v>8.32</v>
          </cell>
          <cell r="CS14">
            <v>7.87</v>
          </cell>
          <cell r="CT14">
            <v>8.25</v>
          </cell>
          <cell r="CU14">
            <v>8.42</v>
          </cell>
          <cell r="CV14">
            <v>8.6</v>
          </cell>
          <cell r="CW14">
            <v>8.68</v>
          </cell>
          <cell r="CX14">
            <v>8.71</v>
          </cell>
          <cell r="CY14">
            <v>8.72</v>
          </cell>
          <cell r="CZ14">
            <v>8.6</v>
          </cell>
          <cell r="DA14">
            <v>8.44</v>
          </cell>
          <cell r="DB14">
            <v>8.38</v>
          </cell>
          <cell r="DC14">
            <v>8.64</v>
          </cell>
          <cell r="DD14">
            <v>8.63</v>
          </cell>
          <cell r="DE14">
            <v>8.68</v>
          </cell>
          <cell r="DF14">
            <v>8.78</v>
          </cell>
          <cell r="DG14">
            <v>8.85</v>
          </cell>
          <cell r="DH14">
            <v>8.75</v>
          </cell>
          <cell r="DI14">
            <v>8.62</v>
          </cell>
          <cell r="DJ14">
            <v>8.85</v>
          </cell>
          <cell r="DK14">
            <v>8.84</v>
          </cell>
          <cell r="DL14">
            <v>8.84</v>
          </cell>
          <cell r="DM14">
            <v>8.74</v>
          </cell>
          <cell r="DN14">
            <v>8.7</v>
          </cell>
          <cell r="DO14">
            <v>8.61</v>
          </cell>
          <cell r="DP14">
            <v>8.64</v>
          </cell>
          <cell r="DQ14">
            <v>8.7</v>
          </cell>
          <cell r="DR14">
            <v>8.65</v>
          </cell>
          <cell r="DS14">
            <v>8.19</v>
          </cell>
          <cell r="DT14">
            <v>7.61</v>
          </cell>
          <cell r="DU14">
            <v>7.91</v>
          </cell>
          <cell r="DV14">
            <v>8.26</v>
          </cell>
          <cell r="DW14">
            <v>8.45</v>
          </cell>
          <cell r="DX14">
            <v>8.65</v>
          </cell>
          <cell r="DY14">
            <v>8.79</v>
          </cell>
          <cell r="DZ14">
            <v>8.82</v>
          </cell>
          <cell r="EA14">
            <v>8.8</v>
          </cell>
          <cell r="EB14">
            <v>8.75</v>
          </cell>
          <cell r="EC14">
            <v>8.54</v>
          </cell>
          <cell r="ED14">
            <v>8.46</v>
          </cell>
          <cell r="EE14">
            <v>8.73</v>
          </cell>
          <cell r="EF14">
            <v>8.93</v>
          </cell>
          <cell r="EG14">
            <v>8.99</v>
          </cell>
          <cell r="EH14">
            <v>8.99</v>
          </cell>
          <cell r="EI14">
            <v>9.02</v>
          </cell>
          <cell r="EJ14">
            <v>8.9</v>
          </cell>
          <cell r="EK14">
            <v>8.76</v>
          </cell>
          <cell r="EL14">
            <v>9.25</v>
          </cell>
          <cell r="EM14">
            <v>9.48</v>
          </cell>
          <cell r="EN14">
            <v>9.57</v>
          </cell>
          <cell r="EO14">
            <v>9.32</v>
          </cell>
          <cell r="EP14">
            <v>9.04</v>
          </cell>
          <cell r="EQ14">
            <v>8.83</v>
          </cell>
          <cell r="ER14">
            <v>8.63</v>
          </cell>
          <cell r="ES14">
            <v>8.85</v>
          </cell>
          <cell r="ET14">
            <v>8.89</v>
          </cell>
          <cell r="EU14">
            <v>8.87</v>
          </cell>
          <cell r="EV14">
            <v>8.88</v>
          </cell>
          <cell r="EW14">
            <v>8.47</v>
          </cell>
          <cell r="EX14">
            <v>7.94</v>
          </cell>
          <cell r="EY14">
            <v>8.39</v>
          </cell>
          <cell r="EZ14">
            <v>8.78</v>
          </cell>
          <cell r="FA14">
            <v>8.97</v>
          </cell>
          <cell r="FB14">
            <v>9.15</v>
          </cell>
          <cell r="FC14">
            <v>9.4</v>
          </cell>
          <cell r="FD14">
            <v>9.82</v>
          </cell>
          <cell r="FE14">
            <v>9.67</v>
          </cell>
          <cell r="FF14">
            <v>9.5</v>
          </cell>
          <cell r="FG14">
            <v>9.75</v>
          </cell>
          <cell r="FH14">
            <v>9.79</v>
          </cell>
          <cell r="FI14">
            <v>9.76</v>
          </cell>
          <cell r="FJ14">
            <v>9.82</v>
          </cell>
          <cell r="FK14">
            <v>9.99</v>
          </cell>
          <cell r="FL14">
            <v>9.6</v>
          </cell>
          <cell r="FM14">
            <v>9.34</v>
          </cell>
          <cell r="FN14">
            <v>9.75</v>
          </cell>
          <cell r="FO14">
            <v>10.06</v>
          </cell>
          <cell r="FP14">
            <v>9.98</v>
          </cell>
          <cell r="FQ14">
            <v>9.84</v>
          </cell>
          <cell r="FR14">
            <v>9.87</v>
          </cell>
          <cell r="FS14">
            <v>9.63</v>
          </cell>
          <cell r="FT14">
            <v>9.51</v>
          </cell>
          <cell r="FU14">
            <v>9.74</v>
          </cell>
          <cell r="FV14">
            <v>9.84</v>
          </cell>
          <cell r="FW14">
            <v>9.93</v>
          </cell>
          <cell r="FX14">
            <v>9.88</v>
          </cell>
          <cell r="FY14">
            <v>9.89</v>
          </cell>
          <cell r="FZ14">
            <v>9.81</v>
          </cell>
          <cell r="GA14">
            <v>9.67</v>
          </cell>
          <cell r="GB14">
            <v>9.96</v>
          </cell>
          <cell r="GC14">
            <v>10.28</v>
          </cell>
          <cell r="GD14">
            <v>10.66</v>
          </cell>
          <cell r="GE14">
            <v>10.92</v>
          </cell>
          <cell r="GF14">
            <v>11.14</v>
          </cell>
          <cell r="GG14">
            <v>11.09</v>
          </cell>
          <cell r="GH14">
            <v>10.93</v>
          </cell>
          <cell r="GI14">
            <v>11.04</v>
          </cell>
          <cell r="GJ14">
            <v>11.01</v>
          </cell>
          <cell r="GK14">
            <v>10.9</v>
          </cell>
          <cell r="GL14">
            <v>10.74</v>
          </cell>
          <cell r="GM14">
            <v>10.69</v>
          </cell>
          <cell r="GN14">
            <v>10.64</v>
          </cell>
          <cell r="GO14">
            <v>10.7</v>
          </cell>
          <cell r="GP14">
            <v>11.1</v>
          </cell>
          <cell r="GQ14">
            <v>11.35</v>
          </cell>
          <cell r="GR14">
            <v>11.45</v>
          </cell>
          <cell r="GS14">
            <v>11.5</v>
          </cell>
          <cell r="GT14">
            <v>11.21</v>
          </cell>
          <cell r="GU14">
            <v>11.03</v>
          </cell>
          <cell r="GV14">
            <v>10.59</v>
          </cell>
          <cell r="GW14">
            <v>10.75</v>
          </cell>
          <cell r="GX14">
            <v>10.65</v>
          </cell>
          <cell r="GY14">
            <v>10.72</v>
          </cell>
          <cell r="GZ14">
            <v>10.9</v>
          </cell>
          <cell r="HA14">
            <v>11</v>
          </cell>
          <cell r="HB14">
            <v>10.98</v>
          </cell>
          <cell r="HC14">
            <v>10.93</v>
          </cell>
          <cell r="HD14">
            <v>11.01</v>
          </cell>
          <cell r="HE14">
            <v>10.99</v>
          </cell>
          <cell r="HF14">
            <v>10.79</v>
          </cell>
          <cell r="HG14">
            <v>10.76</v>
          </cell>
          <cell r="HH14">
            <v>10.9</v>
          </cell>
          <cell r="HI14">
            <v>10.91</v>
          </cell>
          <cell r="HJ14">
            <v>11.04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17" workbookViewId="0">
      <selection activeCell="A35" sqref="A35"/>
    </sheetView>
  </sheetViews>
  <sheetFormatPr defaultColWidth="9" defaultRowHeight="14.25"/>
  <cols>
    <col min="1" max="1" width="8.91666666666667" customWidth="1"/>
    <col min="2" max="2" width="11.875" customWidth="1"/>
    <col min="3" max="3" width="13.375" customWidth="1"/>
    <col min="4" max="4" width="11.875" style="37" customWidth="1"/>
    <col min="5" max="5" width="14" customWidth="1"/>
    <col min="6" max="6" width="9.875" style="37" customWidth="1"/>
    <col min="9" max="9" width="19.7333333333333" customWidth="1"/>
    <col min="10" max="10" width="17.8416666666667" customWidth="1"/>
    <col min="11" max="11" width="9.33333333333333"/>
  </cols>
  <sheetData>
    <row r="1" ht="18.75" spans="1:8">
      <c r="A1" s="3" t="s">
        <v>0</v>
      </c>
      <c r="B1" s="3"/>
      <c r="C1" s="3"/>
      <c r="D1" s="38"/>
      <c r="E1" s="3"/>
      <c r="F1" s="38"/>
      <c r="G1" s="3"/>
      <c r="H1" s="3"/>
    </row>
    <row r="2" spans="1:8">
      <c r="A2" s="4" t="s">
        <v>1</v>
      </c>
      <c r="B2" s="4"/>
      <c r="C2" s="4"/>
      <c r="D2" s="39"/>
      <c r="E2" s="4"/>
      <c r="F2" s="39"/>
      <c r="G2" s="4"/>
      <c r="H2" s="4"/>
    </row>
    <row r="3" spans="1:10">
      <c r="A3" s="5" t="s">
        <v>2</v>
      </c>
      <c r="B3" s="6" t="s">
        <v>3</v>
      </c>
      <c r="C3" s="6" t="s">
        <v>4</v>
      </c>
      <c r="D3" s="30" t="s">
        <v>5</v>
      </c>
      <c r="E3" s="6" t="s">
        <v>6</v>
      </c>
      <c r="F3" s="30" t="s">
        <v>5</v>
      </c>
      <c r="G3" s="5" t="s">
        <v>7</v>
      </c>
      <c r="H3" s="5" t="s">
        <v>8</v>
      </c>
      <c r="I3" s="40"/>
      <c r="J3" s="40"/>
    </row>
    <row r="4" spans="1:10">
      <c r="A4" s="26">
        <v>45292</v>
      </c>
      <c r="B4" s="8">
        <f>IF(A4&lt;&gt;"",INDEX('[1]01-数据'!$C$2:$ND$2,MATCH(A4,'[1]01-数据'!$C$1:$ND$1))," ")</f>
        <v>254.86</v>
      </c>
      <c r="C4" s="8">
        <f>IF(A4&lt;&gt;"",INDEX('[1]01-数据'!$C$3:$ND$3,MATCH(A4,'[1]01-数据'!$C$1:$ND$1))," ")</f>
        <v>254.86</v>
      </c>
      <c r="D4" s="9">
        <f>IF(A4&lt;&gt;"",INDEX('[1]01-数据'!$C$4:$ND$4,MATCH(A4,'[1]01-数据'!$C$1:$ND$1))," ")</f>
        <v>0.051</v>
      </c>
      <c r="E4" s="8">
        <f>IF(A4&lt;&gt;"",INDEX('[1]01-数据'!$C$6:$ND$6,MATCH(A4,'[1]01-数据'!$C$1:$ND$1))," ")</f>
        <v>254.86</v>
      </c>
      <c r="F4" s="14">
        <f>IF(A4&lt;&gt;"",INDEX('[1]01-数据'!$C$7:$ND$7,MATCH(A4,'[1]01-数据'!$C$1:$ND$1))," ")</f>
        <v>0.051</v>
      </c>
      <c r="G4" s="8">
        <f>IF(A4&lt;&gt;"",INDEX('[1]01-数据'!$C$11:$ND$11,MATCH(A4,'[1]01-数据'!$C$1:$ND$1))," ")</f>
        <v>11.1</v>
      </c>
      <c r="H4" s="8">
        <f>IF(A4&lt;&gt;"",INDEX('[1]01-数据'!$C$14:$ND$14,MATCH(A4,'[1]01-数据'!$C$1:$ND$1))," ")</f>
        <v>9.17</v>
      </c>
      <c r="I4" s="41"/>
      <c r="J4" s="42"/>
    </row>
    <row r="5" s="2" customFormat="1" spans="1:10">
      <c r="A5" s="25">
        <v>45293</v>
      </c>
      <c r="B5" s="11">
        <f>IF(A5&lt;&gt;"",INDEX('[1]01-数据'!$C$2:$ND$2,MATCH(A5,'[1]01-数据'!$C$1:$ND$1))," ")</f>
        <v>273.02</v>
      </c>
      <c r="C5" s="11">
        <f>IF(A5&lt;&gt;"",INDEX('[1]01-数据'!$C$3:$ND$3,MATCH(A5,'[1]01-数据'!$C$1:$ND$1))," ")</f>
        <v>527.88</v>
      </c>
      <c r="D5" s="12">
        <f>IF(A5&lt;&gt;"",INDEX('[1]01-数据'!$C$4:$ND$4,MATCH(A5,'[1]01-数据'!$C$1:$ND$1))," ")</f>
        <v>0.0451</v>
      </c>
      <c r="E5" s="11">
        <f>IF(A5&lt;&gt;"",INDEX('[1]01-数据'!$C$6:$ND$6,MATCH(A5,'[1]01-数据'!$C$1:$ND$1))," ")</f>
        <v>527.88</v>
      </c>
      <c r="F5" s="15">
        <f>IF(A5&lt;&gt;"",INDEX('[1]01-数据'!$C$7:$ND$7,MATCH(A5,'[1]01-数据'!$C$1:$ND$1))," ")</f>
        <v>0.0451</v>
      </c>
      <c r="G5" s="11">
        <f>IF(A5&lt;&gt;"",INDEX('[1]01-数据'!$C$11:$ND$11,MATCH(A5,'[1]01-数据'!$C$1:$ND$1))," ")</f>
        <v>12.19</v>
      </c>
      <c r="H5" s="11">
        <f>IF(A5&lt;&gt;"",INDEX('[1]01-数据'!$C$14:$ND$14,MATCH(A5,'[1]01-数据'!$C$1:$ND$1))," ")</f>
        <v>8.85</v>
      </c>
      <c r="I5" s="43"/>
      <c r="J5" s="44"/>
    </row>
    <row r="6" spans="1:10">
      <c r="A6" s="25">
        <v>45294</v>
      </c>
      <c r="B6" s="11">
        <f>IF(A6&lt;&gt;"",INDEX('[1]01-数据'!$C$2:$ND$2,MATCH(A6,'[1]01-数据'!$C$1:$ND$1))," ")</f>
        <v>278.25</v>
      </c>
      <c r="C6" s="11">
        <f>IF(A6&lt;&gt;"",INDEX('[1]01-数据'!$C$3:$ND$3,MATCH(A6,'[1]01-数据'!$C$1:$ND$1))," ")</f>
        <v>806.13</v>
      </c>
      <c r="D6" s="12">
        <f>IF(A6&lt;&gt;"",INDEX('[1]01-数据'!$C$4:$ND$4,MATCH(A6,'[1]01-数据'!$C$1:$ND$1))," ")</f>
        <v>0.0416</v>
      </c>
      <c r="E6" s="11">
        <f>IF(A6&lt;&gt;"",INDEX('[1]01-数据'!$C$6:$ND$6,MATCH(A6,'[1]01-数据'!$C$1:$ND$1))," ")</f>
        <v>806.13</v>
      </c>
      <c r="F6" s="15">
        <f>IF(A6&lt;&gt;"",INDEX('[1]01-数据'!$C$7:$ND$7,MATCH(A6,'[1]01-数据'!$C$1:$ND$1))," ")</f>
        <v>0.0416</v>
      </c>
      <c r="G6" s="11">
        <f>IF(A6&lt;&gt;"",INDEX('[1]01-数据'!$C$11:$ND$11,MATCH(A6,'[1]01-数据'!$C$1:$ND$1))," ")</f>
        <v>12.33</v>
      </c>
      <c r="H6" s="11">
        <f>IF(A6&lt;&gt;"",INDEX('[1]01-数据'!$C$14:$ND$14,MATCH(A6,'[1]01-数据'!$C$1:$ND$1))," ")</f>
        <v>9.48</v>
      </c>
      <c r="I6" s="41"/>
      <c r="J6" s="42"/>
    </row>
    <row r="7" s="1" customFormat="1" spans="1:10">
      <c r="A7" s="26">
        <v>45295</v>
      </c>
      <c r="B7" s="8">
        <f>IF(A7&lt;&gt;"",INDEX('[1]01-数据'!$C$2:$ND$2,MATCH(A7,'[1]01-数据'!$C$1:$ND$1))," ")</f>
        <v>275.79</v>
      </c>
      <c r="C7" s="8">
        <f>IF(A7&lt;&gt;"",INDEX('[1]01-数据'!$C$3:$ND$3,MATCH(A7,'[1]01-数据'!$C$1:$ND$1))," ")</f>
        <v>1081.92</v>
      </c>
      <c r="D7" s="9">
        <f>IF(A7&lt;&gt;"",INDEX('[1]01-数据'!$C$4:$ND$4,MATCH(A7,'[1]01-数据'!$C$1:$ND$1))," ")</f>
        <v>0.036</v>
      </c>
      <c r="E7" s="8">
        <f>IF(A7&lt;&gt;"",INDEX('[1]01-数据'!$C$6:$ND$6,MATCH(A7,'[1]01-数据'!$C$1:$ND$1))," ")</f>
        <v>1081.92</v>
      </c>
      <c r="F7" s="14">
        <f>IF(A7&lt;&gt;"",INDEX('[1]01-数据'!$C$7:$ND$7,MATCH(A7,'[1]01-数据'!$C$1:$ND$1))," ")</f>
        <v>0.036</v>
      </c>
      <c r="G7" s="8">
        <f>IF(A7&lt;&gt;"",INDEX('[1]01-数据'!$C$11:$ND$11,MATCH(A7,'[1]01-数据'!$C$1:$ND$1))," ")</f>
        <v>12.19</v>
      </c>
      <c r="H7" s="8">
        <f>IF(A7&lt;&gt;"",INDEX('[1]01-数据'!$C$14:$ND$14,MATCH(A7,'[1]01-数据'!$C$1:$ND$1))," ")</f>
        <v>9.52</v>
      </c>
      <c r="I7" s="45"/>
      <c r="J7" s="46"/>
    </row>
    <row r="8" s="1" customFormat="1" spans="1:10">
      <c r="A8" s="26">
        <v>45296</v>
      </c>
      <c r="B8" s="8">
        <f>IF(A8&lt;&gt;"",INDEX('[1]01-数据'!$C$2:$ND$2,MATCH(A8,'[1]01-数据'!$C$1:$ND$1))," ")</f>
        <v>269.97</v>
      </c>
      <c r="C8" s="8">
        <f>IF(A8&lt;&gt;"",INDEX('[1]01-数据'!$C$3:$ND$3,MATCH(A8,'[1]01-数据'!$C$1:$ND$1))," ")</f>
        <v>1351.89</v>
      </c>
      <c r="D8" s="9">
        <f>IF(A8&lt;&gt;"",INDEX('[1]01-数据'!$C$4:$ND$4,MATCH(A8,'[1]01-数据'!$C$1:$ND$1))," ")</f>
        <v>0.0297</v>
      </c>
      <c r="E8" s="8">
        <f>IF(A8&lt;&gt;"",INDEX('[1]01-数据'!$C$6:$ND$6,MATCH(A8,'[1]01-数据'!$C$1:$ND$1))," ")</f>
        <v>1351.89</v>
      </c>
      <c r="F8" s="14">
        <f>IF(A8&lt;&gt;"",INDEX('[1]01-数据'!$C$7:$ND$7,MATCH(A8,'[1]01-数据'!$C$1:$ND$1))," ")</f>
        <v>0.0297</v>
      </c>
      <c r="G8" s="8">
        <f>IF(A8&lt;&gt;"",INDEX('[1]01-数据'!$C$11:$ND$11,MATCH(A8,'[1]01-数据'!$C$1:$ND$1))," ")</f>
        <v>11.8</v>
      </c>
      <c r="H8" s="8">
        <f>IF(A8&lt;&gt;"",INDEX('[1]01-数据'!$C$14:$ND$14,MATCH(A8,'[1]01-数据'!$C$1:$ND$1))," ")</f>
        <v>9.41</v>
      </c>
      <c r="I8" s="45"/>
      <c r="J8" s="46"/>
    </row>
    <row r="9" s="2" customFormat="1" spans="1:10">
      <c r="A9" s="25">
        <v>45297</v>
      </c>
      <c r="B9" s="11">
        <f>IF(A9&lt;&gt;"",INDEX('[1]01-数据'!$C$2:$ND$2,MATCH(A9,'[1]01-数据'!$C$1:$ND$1))," ")</f>
        <v>277.54</v>
      </c>
      <c r="C9" s="11">
        <f>IF(A9&lt;&gt;"",INDEX('[1]01-数据'!$C$3:$ND$3,MATCH(A9,'[1]01-数据'!$C$1:$ND$1))," ")</f>
        <v>1629.43</v>
      </c>
      <c r="D9" s="12">
        <f>IF(A9&lt;&gt;"",INDEX('[1]01-数据'!$C$4:$ND$4,MATCH(A9,'[1]01-数据'!$C$1:$ND$1))," ")</f>
        <v>0.0323</v>
      </c>
      <c r="E9" s="11">
        <f>IF(A9&lt;&gt;"",INDEX('[1]01-数据'!$C$6:$ND$6,MATCH(A9,'[1]01-数据'!$C$1:$ND$1))," ")</f>
        <v>1629.43</v>
      </c>
      <c r="F9" s="15">
        <f>IF(A9&lt;&gt;"",INDEX('[1]01-数据'!$C$7:$ND$7,MATCH(A9,'[1]01-数据'!$C$1:$ND$1))," ")</f>
        <v>0.0323</v>
      </c>
      <c r="G9" s="11">
        <f>IF(A9&lt;&gt;"",INDEX('[1]01-数据'!$C$11:$ND$11,MATCH(A9,'[1]01-数据'!$C$1:$ND$1))," ")</f>
        <v>12.29</v>
      </c>
      <c r="H9" s="11">
        <f>IF(A9&lt;&gt;"",INDEX('[1]01-数据'!$C$14:$ND$14,MATCH(A9,'[1]01-数据'!$C$1:$ND$1))," ")</f>
        <v>9.32</v>
      </c>
      <c r="I9" s="43"/>
      <c r="J9" s="44"/>
    </row>
    <row r="10" spans="1:10">
      <c r="A10" s="25">
        <v>45298</v>
      </c>
      <c r="B10" s="11">
        <f>IF(A10&lt;&gt;"",INDEX('[1]01-数据'!$C$2:$ND$2,MATCH(A10,'[1]01-数据'!$C$1:$ND$1))," ")</f>
        <v>281.28</v>
      </c>
      <c r="C10" s="11">
        <f>IF(A10&lt;&gt;"",INDEX('[1]01-数据'!$C$3:$ND$3,MATCH(A10,'[1]01-数据'!$C$1:$ND$1))," ")</f>
        <v>1910.71</v>
      </c>
      <c r="D10" s="12">
        <f>IF(A10&lt;&gt;"",INDEX('[1]01-数据'!$C$4:$ND$4,MATCH(A10,'[1]01-数据'!$C$1:$ND$1))," ")</f>
        <v>0.0374</v>
      </c>
      <c r="E10" s="11">
        <f>IF(A10&lt;&gt;"",INDEX('[1]01-数据'!$C$6:$ND$6,MATCH(A10,'[1]01-数据'!$C$1:$ND$1))," ")</f>
        <v>1910.71</v>
      </c>
      <c r="F10" s="15">
        <f>IF(A10&lt;&gt;"",INDEX('[1]01-数据'!$C$7:$ND$7,MATCH(A10,'[1]01-数据'!$C$1:$ND$1))," ")</f>
        <v>0.0374</v>
      </c>
      <c r="G10" s="11">
        <f>IF(A10&lt;&gt;"",INDEX('[1]01-数据'!$C$11:$ND$11,MATCH(A10,'[1]01-数据'!$C$1:$ND$1))," ")</f>
        <v>12.42</v>
      </c>
      <c r="H10" s="11">
        <f>IF(A10&lt;&gt;"",INDEX('[1]01-数据'!$C$14:$ND$14,MATCH(A10,'[1]01-数据'!$C$1:$ND$1))," ")</f>
        <v>9.54</v>
      </c>
      <c r="I10" s="41"/>
      <c r="J10" s="42"/>
    </row>
    <row r="11" spans="1:10">
      <c r="A11" s="25">
        <v>45299</v>
      </c>
      <c r="B11" s="11">
        <f>IF(A11&lt;&gt;"",INDEX('[1]01-数据'!$C$2:$ND$2,MATCH(A11,'[1]01-数据'!$C$1:$ND$1))," ")</f>
        <v>283.34</v>
      </c>
      <c r="C11" s="11">
        <f>IF(A11&lt;&gt;"",INDEX('[1]01-数据'!$C$3:$ND$3,MATCH(A11,'[1]01-数据'!$C$1:$ND$1))," ")</f>
        <v>2194.05</v>
      </c>
      <c r="D11" s="12">
        <f>IF(A11&lt;&gt;"",INDEX('[1]01-数据'!$C$4:$ND$4,MATCH(A11,'[1]01-数据'!$C$1:$ND$1))," ")</f>
        <v>0.038</v>
      </c>
      <c r="E11" s="11">
        <f>IF(A11&lt;&gt;"",INDEX('[1]01-数据'!$C$6:$ND$6,MATCH(A11,'[1]01-数据'!$C$1:$ND$1))," ")</f>
        <v>2194.05</v>
      </c>
      <c r="F11" s="15">
        <f>IF(A11&lt;&gt;"",INDEX('[1]01-数据'!$C$7:$ND$7,MATCH(A11,'[1]01-数据'!$C$1:$ND$1))," ")</f>
        <v>0.038</v>
      </c>
      <c r="G11" s="11">
        <f>IF(A11&lt;&gt;"",INDEX('[1]01-数据'!$C$11:$ND$11,MATCH(A11,'[1]01-数据'!$C$1:$ND$1))," ")</f>
        <v>12.53</v>
      </c>
      <c r="H11" s="11">
        <f>IF(A11&lt;&gt;"",INDEX('[1]01-数据'!$C$14:$ND$14,MATCH(A11,'[1]01-数据'!$C$1:$ND$1))," ")</f>
        <v>9.59</v>
      </c>
      <c r="I11" s="41"/>
      <c r="J11" s="42"/>
    </row>
    <row r="12" spans="1:10">
      <c r="A12" s="25">
        <v>45300</v>
      </c>
      <c r="B12" s="11">
        <f>IF(A12&lt;&gt;"",INDEX('[1]01-数据'!$C$2:$ND$2,MATCH(A12,'[1]01-数据'!$C$1:$ND$1))," ")</f>
        <v>287.82</v>
      </c>
      <c r="C12" s="11">
        <f>IF(A12&lt;&gt;"",INDEX('[1]01-数据'!$C$3:$ND$3,MATCH(A12,'[1]01-数据'!$C$1:$ND$1))," ")</f>
        <v>2481.87</v>
      </c>
      <c r="D12" s="12">
        <f>IF(A12&lt;&gt;"",INDEX('[1]01-数据'!$C$4:$ND$4,MATCH(A12,'[1]01-数据'!$C$1:$ND$1))," ")</f>
        <v>0.0413</v>
      </c>
      <c r="E12" s="11">
        <f>IF(A12&lt;&gt;"",INDEX('[1]01-数据'!$C$6:$ND$6,MATCH(A12,'[1]01-数据'!$C$1:$ND$1))," ")</f>
        <v>2481.87</v>
      </c>
      <c r="F12" s="15">
        <f>IF(A12&lt;&gt;"",INDEX('[1]01-数据'!$C$7:$ND$7,MATCH(A12,'[1]01-数据'!$C$1:$ND$1))," ")</f>
        <v>0.0413</v>
      </c>
      <c r="G12" s="11">
        <f>IF(A12&lt;&gt;"",INDEX('[1]01-数据'!$C$11:$ND$11,MATCH(A12,'[1]01-数据'!$C$1:$ND$1))," ")</f>
        <v>12.75</v>
      </c>
      <c r="H12" s="11">
        <f>IF(A12&lt;&gt;"",INDEX('[1]01-数据'!$C$14:$ND$14,MATCH(A12,'[1]01-数据'!$C$1:$ND$1))," ")</f>
        <v>9.68</v>
      </c>
      <c r="I12" s="41"/>
      <c r="J12" s="42"/>
    </row>
    <row r="13" spans="1:11">
      <c r="A13" s="25">
        <v>45301</v>
      </c>
      <c r="B13" s="11">
        <f>IF(A13&lt;&gt;"",INDEX('[1]01-数据'!$C$2:$ND$2,MATCH(A13,'[1]01-数据'!$C$1:$ND$1))," ")</f>
        <v>289.25</v>
      </c>
      <c r="C13" s="11">
        <f>IF(A13&lt;&gt;"",INDEX('[1]01-数据'!$C$3:$ND$3,MATCH(A13,'[1]01-数据'!$C$1:$ND$1))," ")</f>
        <v>2771.12</v>
      </c>
      <c r="D13" s="12">
        <f>IF(A13&lt;&gt;"",INDEX('[1]01-数据'!$C$4:$ND$4,MATCH(A13,'[1]01-数据'!$C$1:$ND$1))," ")</f>
        <v>0.0437</v>
      </c>
      <c r="E13" s="11">
        <f>IF(A13&lt;&gt;"",INDEX('[1]01-数据'!$C$6:$ND$6,MATCH(A13,'[1]01-数据'!$C$1:$ND$1))," ")</f>
        <v>2771.12</v>
      </c>
      <c r="F13" s="15">
        <f>IF(A13&lt;&gt;"",INDEX('[1]01-数据'!$C$7:$ND$7,MATCH(A13,'[1]01-数据'!$C$1:$ND$1))," ")</f>
        <v>0.0437</v>
      </c>
      <c r="G13" s="11">
        <f>IF(A13&lt;&gt;"",INDEX('[1]01-数据'!$C$11:$ND$11,MATCH(A13,'[1]01-数据'!$C$1:$ND$1))," ")</f>
        <v>12.81</v>
      </c>
      <c r="H13" s="11">
        <f>IF(A13&lt;&gt;"",INDEX('[1]01-数据'!$C$14:$ND$14,MATCH(A13,'[1]01-数据'!$C$1:$ND$1))," ")</f>
        <v>9.79</v>
      </c>
      <c r="I13" s="41"/>
      <c r="J13" s="42"/>
      <c r="K13" s="17"/>
    </row>
    <row r="14" s="1" customFormat="1" spans="1:11">
      <c r="A14" s="26">
        <v>45302</v>
      </c>
      <c r="B14" s="8">
        <f>IF(A14&lt;&gt;"",INDEX('[1]01-数据'!$C$2:$ND$2,MATCH(A14,'[1]01-数据'!$C$1:$ND$1))," ")</f>
        <v>283.09</v>
      </c>
      <c r="C14" s="8">
        <f>IF(A14&lt;&gt;"",INDEX('[1]01-数据'!$C$3:$ND$3,MATCH(A14,'[1]01-数据'!$C$1:$ND$1))," ")</f>
        <v>3054.21</v>
      </c>
      <c r="D14" s="9">
        <f>IF(A14&lt;&gt;"",INDEX('[1]01-数据'!$C$4:$ND$4,MATCH(A14,'[1]01-数据'!$C$1:$ND$1))," ")</f>
        <v>0.0445</v>
      </c>
      <c r="E14" s="8">
        <f>IF(A14&lt;&gt;"",INDEX('[1]01-数据'!$C$6:$ND$6,MATCH(A14,'[1]01-数据'!$C$1:$ND$1))," ")</f>
        <v>3054.21</v>
      </c>
      <c r="F14" s="14">
        <f>IF(A14&lt;&gt;"",INDEX('[1]01-数据'!$C$7:$ND$7,MATCH(A14,'[1]01-数据'!$C$1:$ND$1))," ")</f>
        <v>0.0445</v>
      </c>
      <c r="G14" s="8">
        <f>IF(A14&lt;&gt;"",INDEX('[1]01-数据'!$C$11:$ND$11,MATCH(A14,'[1]01-数据'!$C$1:$ND$1))," ")</f>
        <v>12.48</v>
      </c>
      <c r="H14" s="8">
        <f>IF(A14&lt;&gt;"",INDEX('[1]01-数据'!$C$14:$ND$14,MATCH(A14,'[1]01-数据'!$C$1:$ND$1))," ")</f>
        <v>9.76</v>
      </c>
      <c r="I14" s="45"/>
      <c r="J14" s="46"/>
      <c r="K14" s="47"/>
    </row>
    <row r="15" s="1" customFormat="1" spans="1:11">
      <c r="A15" s="26">
        <v>45303</v>
      </c>
      <c r="B15" s="8">
        <f>IF(A15&lt;&gt;"",INDEX('[1]01-数据'!$C$2:$ND$2,MATCH(A15,'[1]01-数据'!$C$1:$ND$1))," ")</f>
        <v>275.13</v>
      </c>
      <c r="C15" s="8">
        <f>IF(A15&lt;&gt;"",INDEX('[1]01-数据'!$C$3:$ND$3,MATCH(A15,'[1]01-数据'!$C$1:$ND$1))," ")</f>
        <v>3329.33</v>
      </c>
      <c r="D15" s="9">
        <f>IF(A15&lt;&gt;"",INDEX('[1]01-数据'!$C$4:$ND$4,MATCH(A15,'[1]01-数据'!$C$1:$ND$1))," ")</f>
        <v>0.0437</v>
      </c>
      <c r="E15" s="8">
        <f>IF(A15&lt;&gt;"",INDEX('[1]01-数据'!$C$6:$ND$6,MATCH(A15,'[1]01-数据'!$C$1:$ND$1))," ")</f>
        <v>3329.33</v>
      </c>
      <c r="F15" s="14">
        <f>IF(A15&lt;&gt;"",INDEX('[1]01-数据'!$C$7:$ND$7,MATCH(A15,'[1]01-数据'!$C$1:$ND$1))," ")</f>
        <v>0.0437</v>
      </c>
      <c r="G15" s="8">
        <f>IF(A15&lt;&gt;"",INDEX('[1]01-数据'!$C$11:$ND$11,MATCH(A15,'[1]01-数据'!$C$1:$ND$1))," ")</f>
        <v>12.1</v>
      </c>
      <c r="H15" s="8">
        <f>IF(A15&lt;&gt;"",INDEX('[1]01-数据'!$C$14:$ND$14,MATCH(A15,'[1]01-数据'!$C$1:$ND$1))," ")</f>
        <v>9.62</v>
      </c>
      <c r="I15" s="45"/>
      <c r="J15" s="46"/>
      <c r="K15" s="47"/>
    </row>
    <row r="16" s="2" customFormat="1" spans="1:10">
      <c r="A16" s="25">
        <v>45304</v>
      </c>
      <c r="B16" s="11">
        <f>IF(A16&lt;&gt;"",INDEX('[1]01-数据'!$C$2:$ND$2,MATCH(A16,'[1]01-数据'!$C$1:$ND$1))," ")</f>
        <v>277.34</v>
      </c>
      <c r="C16" s="11">
        <f>IF(A16&lt;&gt;"",INDEX('[1]01-数据'!$C$3:$ND$3,MATCH(A16,'[1]01-数据'!$C$1:$ND$1))," ")</f>
        <v>3606.68</v>
      </c>
      <c r="D16" s="12">
        <f>IF(A16&lt;&gt;"",INDEX('[1]01-数据'!$C$4:$ND$4,MATCH(A16,'[1]01-数据'!$C$1:$ND$1))," ")</f>
        <v>0.0451</v>
      </c>
      <c r="E16" s="11">
        <f>IF(A16&lt;&gt;"",INDEX('[1]01-数据'!$C$6:$ND$6,MATCH(A16,'[1]01-数据'!$C$1:$ND$1))," ")</f>
        <v>3606.68</v>
      </c>
      <c r="F16" s="15">
        <f>IF(A16&lt;&gt;"",INDEX('[1]01-数据'!$C$7:$ND$7,MATCH(A16,'[1]01-数据'!$C$1:$ND$1))," ")</f>
        <v>0.0451</v>
      </c>
      <c r="G16" s="11">
        <f>IF(A16&lt;&gt;"",INDEX('[1]01-数据'!$C$11:$ND$11,MATCH(A16,'[1]01-数据'!$C$1:$ND$1))," ")</f>
        <v>12.36</v>
      </c>
      <c r="H16" s="11">
        <f>IF(A16&lt;&gt;"",INDEX('[1]01-数据'!$C$14:$ND$14,MATCH(A16,'[1]01-数据'!$C$1:$ND$1))," ")</f>
        <v>9.39</v>
      </c>
      <c r="I16" s="43"/>
      <c r="J16" s="44"/>
    </row>
    <row r="17" spans="1:10">
      <c r="A17" s="25">
        <v>45305</v>
      </c>
      <c r="B17" s="11">
        <f>IF(A17&lt;&gt;"",INDEX('[1]01-数据'!$C$2:$ND$2,MATCH(A17,'[1]01-数据'!$C$1:$ND$1))," ")</f>
        <v>277.01</v>
      </c>
      <c r="C17" s="11">
        <f>IF(A17&lt;&gt;"",INDEX('[1]01-数据'!$C$3:$ND$3,MATCH(A17,'[1]01-数据'!$C$1:$ND$1))," ")</f>
        <v>3883.69</v>
      </c>
      <c r="D17" s="12">
        <f>IF(A17&lt;&gt;"",INDEX('[1]01-数据'!$C$4:$ND$4,MATCH(A17,'[1]01-数据'!$C$1:$ND$1))," ")</f>
        <v>0.0478</v>
      </c>
      <c r="E17" s="11">
        <f>IF(A17&lt;&gt;"",INDEX('[1]01-数据'!$C$6:$ND$6,MATCH(A17,'[1]01-数据'!$C$1:$ND$1))," ")</f>
        <v>3883.69</v>
      </c>
      <c r="F17" s="15">
        <f>IF(A17&lt;&gt;"",INDEX('[1]01-数据'!$C$7:$ND$7,MATCH(A17,'[1]01-数据'!$C$1:$ND$1))," ")</f>
        <v>0.0478</v>
      </c>
      <c r="G17" s="11">
        <f>IF(A17&lt;&gt;"",INDEX('[1]01-数据'!$C$11:$ND$11,MATCH(A17,'[1]01-数据'!$C$1:$ND$1))," ")</f>
        <v>12.2</v>
      </c>
      <c r="H17" s="11">
        <f>IF(A17&lt;&gt;"",INDEX('[1]01-数据'!$C$14:$ND$14,MATCH(A17,'[1]01-数据'!$C$1:$ND$1))," ")</f>
        <v>9.39</v>
      </c>
      <c r="I17" s="41"/>
      <c r="J17" s="42"/>
    </row>
    <row r="18" spans="1:10">
      <c r="A18" s="25">
        <v>45306</v>
      </c>
      <c r="B18" s="11">
        <f>IF(A18&lt;&gt;"",INDEX('[1]01-数据'!$C$2:$ND$2,MATCH(A18,'[1]01-数据'!$C$1:$ND$1))," ")</f>
        <v>277.85</v>
      </c>
      <c r="C18" s="11">
        <f>IF(A18&lt;&gt;"",INDEX('[1]01-数据'!$C$3:$ND$3,MATCH(A18,'[1]01-数据'!$C$1:$ND$1))," ")</f>
        <v>4161.54</v>
      </c>
      <c r="D18" s="12">
        <f>IF(A18&lt;&gt;"",INDEX('[1]01-数据'!$C$4:$ND$4,MATCH(A18,'[1]01-数据'!$C$1:$ND$1))," ")</f>
        <v>0.0475</v>
      </c>
      <c r="E18" s="11">
        <f>IF(A18&lt;&gt;"",INDEX('[1]01-数据'!$C$6:$ND$6,MATCH(A18,'[1]01-数据'!$C$1:$ND$1))," ")</f>
        <v>4161.54</v>
      </c>
      <c r="F18" s="15">
        <f>IF(A18&lt;&gt;"",INDEX('[1]01-数据'!$C$7:$ND$7,MATCH(A18,'[1]01-数据'!$C$1:$ND$1))," ")</f>
        <v>0.0475</v>
      </c>
      <c r="G18" s="11">
        <f>IF(A18&lt;&gt;"",INDEX('[1]01-数据'!$C$11:$ND$11,MATCH(A18,'[1]01-数据'!$C$1:$ND$1))," ")</f>
        <v>12.28</v>
      </c>
      <c r="H18" s="11">
        <f>IF(A18&lt;&gt;"",INDEX('[1]01-数据'!$C$14:$ND$14,MATCH(A18,'[1]01-数据'!$C$1:$ND$1))," ")</f>
        <v>9.42</v>
      </c>
      <c r="I18" s="41"/>
      <c r="J18" s="42"/>
    </row>
    <row r="19" spans="1:10">
      <c r="A19" s="25">
        <v>45307</v>
      </c>
      <c r="B19" s="11">
        <f>IF(A19&lt;&gt;"",INDEX('[1]01-数据'!$C$2:$ND$2,MATCH(A19,'[1]01-数据'!$C$1:$ND$1))," ")</f>
        <v>274.63</v>
      </c>
      <c r="C19" s="11">
        <f>IF(A19&lt;&gt;"",INDEX('[1]01-数据'!$C$3:$ND$3,MATCH(A19,'[1]01-数据'!$C$1:$ND$1))," ")</f>
        <v>4436.17</v>
      </c>
      <c r="D19" s="12">
        <f>IF(A19&lt;&gt;"",INDEX('[1]01-数据'!$C$4:$ND$4,MATCH(A19,'[1]01-数据'!$C$1:$ND$1))," ")</f>
        <v>0.0454</v>
      </c>
      <c r="E19" s="11">
        <f>IF(A19&lt;&gt;"",INDEX('[1]01-数据'!$C$6:$ND$6,MATCH(A19,'[1]01-数据'!$C$1:$ND$1))," ")</f>
        <v>4436.17</v>
      </c>
      <c r="F19" s="15">
        <f>IF(A19&lt;&gt;"",INDEX('[1]01-数据'!$C$7:$ND$7,MATCH(A19,'[1]01-数据'!$C$1:$ND$1))," ")</f>
        <v>0.0454</v>
      </c>
      <c r="G19" s="11">
        <f>IF(A19&lt;&gt;"",INDEX('[1]01-数据'!$C$11:$ND$11,MATCH(A19,'[1]01-数据'!$C$1:$ND$1))," ")</f>
        <v>12.15</v>
      </c>
      <c r="H19" s="11">
        <f>IF(A19&lt;&gt;"",INDEX('[1]01-数据'!$C$14:$ND$14,MATCH(A19,'[1]01-数据'!$C$1:$ND$1))," ")</f>
        <v>9.37</v>
      </c>
      <c r="I19" s="41"/>
      <c r="J19" s="42"/>
    </row>
    <row r="20" spans="1:10">
      <c r="A20" s="25">
        <v>45308</v>
      </c>
      <c r="B20" s="11">
        <f>IF(A20&lt;&gt;"",INDEX('[1]01-数据'!$C$2:$ND$2,MATCH(A20,'[1]01-数据'!$C$1:$ND$1))," ")</f>
        <v>271.02</v>
      </c>
      <c r="C20" s="11">
        <f>IF(A20&lt;&gt;"",INDEX('[1]01-数据'!$C$3:$ND$3,MATCH(A20,'[1]01-数据'!$C$1:$ND$1))," ")</f>
        <v>4707.19</v>
      </c>
      <c r="D20" s="12">
        <f>IF(A20&lt;&gt;"",INDEX('[1]01-数据'!$C$4:$ND$4,MATCH(A20,'[1]01-数据'!$C$1:$ND$1))," ")</f>
        <v>0.0432</v>
      </c>
      <c r="E20" s="11">
        <f>IF(A20&lt;&gt;"",INDEX('[1]01-数据'!$C$6:$ND$6,MATCH(A20,'[1]01-数据'!$C$1:$ND$1))," ")</f>
        <v>4707.19</v>
      </c>
      <c r="F20" s="15">
        <f>IF(A20&lt;&gt;"",INDEX('[1]01-数据'!$C$7:$ND$7,MATCH(A20,'[1]01-数据'!$C$1:$ND$1))," ")</f>
        <v>0.0432</v>
      </c>
      <c r="G20" s="11">
        <f>IF(A20&lt;&gt;"",INDEX('[1]01-数据'!$C$11:$ND$11,MATCH(A20,'[1]01-数据'!$C$1:$ND$1))," ")</f>
        <v>11.94</v>
      </c>
      <c r="H20" s="11">
        <f>IF(A20&lt;&gt;"",INDEX('[1]01-数据'!$C$14:$ND$14,MATCH(A20,'[1]01-数据'!$C$1:$ND$1))," ")</f>
        <v>9.27</v>
      </c>
      <c r="I20" s="41"/>
      <c r="J20" s="42"/>
    </row>
    <row r="21" s="1" customFormat="1" spans="1:10">
      <c r="A21" s="26">
        <v>45309</v>
      </c>
      <c r="B21" s="8">
        <f>IF(A21&lt;&gt;"",INDEX('[1]01-数据'!$C$2:$ND$2,MATCH(A21,'[1]01-数据'!$C$1:$ND$1))," ")</f>
        <v>262.23</v>
      </c>
      <c r="C21" s="8">
        <f>IF(A21&lt;&gt;"",INDEX('[1]01-数据'!$C$3:$ND$3,MATCH(A21,'[1]01-数据'!$C$1:$ND$1))," ")</f>
        <v>4969.42</v>
      </c>
      <c r="D21" s="9">
        <f>IF(A21&lt;&gt;"",INDEX('[1]01-数据'!$C$4:$ND$4,MATCH(A21,'[1]01-数据'!$C$1:$ND$1))," ")</f>
        <v>0.0391</v>
      </c>
      <c r="E21" s="8">
        <f>IF(A21&lt;&gt;"",INDEX('[1]01-数据'!$C$6:$ND$6,MATCH(A21,'[1]01-数据'!$C$1:$ND$1))," ")</f>
        <v>4969.42</v>
      </c>
      <c r="F21" s="14">
        <f>IF(A21&lt;&gt;"",INDEX('[1]01-数据'!$C$7:$ND$7,MATCH(A21,'[1]01-数据'!$C$1:$ND$1))," ")</f>
        <v>0.0391</v>
      </c>
      <c r="G21" s="8">
        <f>IF(A21&lt;&gt;"",INDEX('[1]01-数据'!$C$11:$ND$11,MATCH(A21,'[1]01-数据'!$C$1:$ND$1))," ")</f>
        <v>11.45</v>
      </c>
      <c r="H21" s="8">
        <f>IF(A21&lt;&gt;"",INDEX('[1]01-数据'!$C$14:$ND$14,MATCH(A21,'[1]01-数据'!$C$1:$ND$1))," ")</f>
        <v>9.05</v>
      </c>
      <c r="I21" s="45"/>
      <c r="J21" s="46"/>
    </row>
    <row r="22" s="1" customFormat="1" spans="1:10">
      <c r="A22" s="26">
        <v>45310</v>
      </c>
      <c r="B22" s="8">
        <f>IF(A22&lt;&gt;"",INDEX('[1]01-数据'!$C$2:$ND$2,MATCH(A22,'[1]01-数据'!$C$1:$ND$1))," ")</f>
        <v>252.28</v>
      </c>
      <c r="C22" s="8">
        <f>IF(A22&lt;&gt;"",INDEX('[1]01-数据'!$C$3:$ND$3,MATCH(A22,'[1]01-数据'!$C$1:$ND$1))," ")</f>
        <v>5221.7</v>
      </c>
      <c r="D22" s="9">
        <f>IF(A22&lt;&gt;"",INDEX('[1]01-数据'!$C$4:$ND$4,MATCH(A22,'[1]01-数据'!$C$1:$ND$1))," ")</f>
        <v>0.0328</v>
      </c>
      <c r="E22" s="8">
        <f>IF(A22&lt;&gt;"",INDEX('[1]01-数据'!$C$6:$ND$6,MATCH(A22,'[1]01-数据'!$C$1:$ND$1))," ")</f>
        <v>5221.7</v>
      </c>
      <c r="F22" s="14">
        <f>IF(A22&lt;&gt;"",INDEX('[1]01-数据'!$C$7:$ND$7,MATCH(A22,'[1]01-数据'!$C$1:$ND$1))," ")</f>
        <v>0.0328</v>
      </c>
      <c r="G22" s="8">
        <f>IF(A22&lt;&gt;"",INDEX('[1]01-数据'!$C$11:$ND$11,MATCH(A22,'[1]01-数据'!$C$1:$ND$1))," ")</f>
        <v>11.08</v>
      </c>
      <c r="H22" s="8">
        <f>IF(A22&lt;&gt;"",INDEX('[1]01-数据'!$C$14:$ND$14,MATCH(A22,'[1]01-数据'!$C$1:$ND$1))," ")</f>
        <v>8.82</v>
      </c>
      <c r="I22" s="45"/>
      <c r="J22" s="46"/>
    </row>
    <row r="23" s="2" customFormat="1" spans="1:10">
      <c r="A23" s="25">
        <v>45311</v>
      </c>
      <c r="B23" s="11">
        <f>IF(A23&lt;&gt;"",INDEX('[1]01-数据'!$C$2:$ND$2,MATCH(A23,'[1]01-数据'!$C$1:$ND$1))," ")</f>
        <v>251.72</v>
      </c>
      <c r="C23" s="11">
        <f>IF(A23&lt;&gt;"",INDEX('[1]01-数据'!$C$3:$ND$3,MATCH(A23,'[1]01-数据'!$C$1:$ND$1))," ")</f>
        <v>5473.42</v>
      </c>
      <c r="D23" s="12">
        <f>IF(A23&lt;&gt;"",INDEX('[1]01-数据'!$C$4:$ND$4,MATCH(A23,'[1]01-数据'!$C$1:$ND$1))," ")</f>
        <v>0.0274</v>
      </c>
      <c r="E23" s="11">
        <f>IF(A23&lt;&gt;"",INDEX('[1]01-数据'!$C$6:$ND$6,MATCH(A23,'[1]01-数据'!$C$1:$ND$1))," ")</f>
        <v>5473.42</v>
      </c>
      <c r="F23" s="15">
        <f>IF(A23&lt;&gt;"",INDEX('[1]01-数据'!$C$7:$ND$7,MATCH(A23,'[1]01-数据'!$C$1:$ND$1))," ")</f>
        <v>0.0274</v>
      </c>
      <c r="G23" s="11">
        <f>IF(A23&lt;&gt;"",INDEX('[1]01-数据'!$C$11:$ND$11,MATCH(A23,'[1]01-数据'!$C$1:$ND$1))," ")</f>
        <v>11.07</v>
      </c>
      <c r="H23" s="11">
        <f>IF(A23&lt;&gt;"",INDEX('[1]01-数据'!$C$14:$ND$14,MATCH(A23,'[1]01-数据'!$C$1:$ND$1))," ")</f>
        <v>8.59</v>
      </c>
      <c r="I23" s="43"/>
      <c r="J23" s="44"/>
    </row>
    <row r="24" spans="1:10">
      <c r="A24" s="25">
        <v>45312</v>
      </c>
      <c r="B24" s="11">
        <f>IF(A24&lt;&gt;"",INDEX('[1]01-数据'!$C$2:$ND$2,MATCH(A24,'[1]01-数据'!$C$1:$ND$1))," ")</f>
        <v>246.29</v>
      </c>
      <c r="C24" s="11">
        <f>IF(A24&lt;&gt;"",INDEX('[1]01-数据'!$C$3:$ND$3,MATCH(A24,'[1]01-数据'!$C$1:$ND$1))," ")</f>
        <v>5719.71</v>
      </c>
      <c r="D24" s="12">
        <f>IF(A24&lt;&gt;"",INDEX('[1]01-数据'!$C$4:$ND$4,MATCH(A24,'[1]01-数据'!$C$1:$ND$1))," ")</f>
        <v>0.0215</v>
      </c>
      <c r="E24" s="11">
        <f>IF(A24&lt;&gt;"",INDEX('[1]01-数据'!$C$6:$ND$6,MATCH(A24,'[1]01-数据'!$C$1:$ND$1))," ")</f>
        <v>5719.71</v>
      </c>
      <c r="F24" s="15">
        <f>IF(A24&lt;&gt;"",INDEX('[1]01-数据'!$C$7:$ND$7,MATCH(A24,'[1]01-数据'!$C$1:$ND$1))," ")</f>
        <v>0.0215</v>
      </c>
      <c r="G24" s="11">
        <f>IF(A24&lt;&gt;"",INDEX('[1]01-数据'!$C$11:$ND$11,MATCH(A24,'[1]01-数据'!$C$1:$ND$1))," ")</f>
        <v>10.74</v>
      </c>
      <c r="H24" s="11">
        <f>IF(A24&lt;&gt;"",INDEX('[1]01-数据'!$C$14:$ND$14,MATCH(A24,'[1]01-数据'!$C$1:$ND$1))," ")</f>
        <v>8.47</v>
      </c>
      <c r="I24" s="41"/>
      <c r="J24" s="42"/>
    </row>
    <row r="25" spans="1:10">
      <c r="A25" s="25">
        <v>45313</v>
      </c>
      <c r="B25" s="11">
        <f>IF(A25&lt;&gt;"",INDEX('[1]01-数据'!$C$2:$ND$2,MATCH(A25,'[1]01-数据'!$C$1:$ND$1))," ")</f>
        <v>240.23</v>
      </c>
      <c r="C25" s="11">
        <f>IF(A25&lt;&gt;"",INDEX('[1]01-数据'!$C$3:$ND$3,MATCH(A25,'[1]01-数据'!$C$1:$ND$1))," ")</f>
        <v>5959.94</v>
      </c>
      <c r="D25" s="12">
        <f>IF(A25&lt;&gt;"",INDEX('[1]01-数据'!$C$4:$ND$4,MATCH(A25,'[1]01-数据'!$C$1:$ND$1))," ")</f>
        <v>0.0123</v>
      </c>
      <c r="E25" s="11">
        <f>IF(A25&lt;&gt;"",INDEX('[1]01-数据'!$C$6:$ND$6,MATCH(A25,'[1]01-数据'!$C$1:$ND$1))," ")</f>
        <v>5959.94</v>
      </c>
      <c r="F25" s="15">
        <f>IF(A25&lt;&gt;"",INDEX('[1]01-数据'!$C$7:$ND$7,MATCH(A25,'[1]01-数据'!$C$1:$ND$1))," ")</f>
        <v>0.0123</v>
      </c>
      <c r="G25" s="11">
        <f>IF(A25&lt;&gt;"",INDEX('[1]01-数据'!$C$11:$ND$11,MATCH(A25,'[1]01-数据'!$C$1:$ND$1))," ")</f>
        <v>10.5</v>
      </c>
      <c r="H25" s="11">
        <f>IF(A25&lt;&gt;"",INDEX('[1]01-数据'!$C$14:$ND$14,MATCH(A25,'[1]01-数据'!$C$1:$ND$1))," ")</f>
        <v>8.23</v>
      </c>
      <c r="I25" s="41"/>
      <c r="J25" s="42"/>
    </row>
    <row r="26" spans="1:10">
      <c r="A26" s="25">
        <v>45314</v>
      </c>
      <c r="B26" s="11">
        <f>IF(A26&lt;&gt;"",INDEX('[1]01-数据'!$C$2:$ND$2,MATCH(A26,'[1]01-数据'!$C$1:$ND$1))," ")</f>
        <v>235.24</v>
      </c>
      <c r="C26" s="11">
        <f>IF(A26&lt;&gt;"",INDEX('[1]01-数据'!$C$3:$ND$3,MATCH(A26,'[1]01-数据'!$C$1:$ND$1))," ")</f>
        <v>6195.17</v>
      </c>
      <c r="D26" s="12">
        <f>IF(A26&lt;&gt;"",INDEX('[1]01-数据'!$C$4:$ND$4,MATCH(A26,'[1]01-数据'!$C$1:$ND$1))," ")</f>
        <v>0.0025</v>
      </c>
      <c r="E26" s="11">
        <f>IF(A26&lt;&gt;"",INDEX('[1]01-数据'!$C$6:$ND$6,MATCH(A26,'[1]01-数据'!$C$1:$ND$1))," ")</f>
        <v>6195.17</v>
      </c>
      <c r="F26" s="15">
        <f>IF(A26&lt;&gt;"",INDEX('[1]01-数据'!$C$7:$ND$7,MATCH(A26,'[1]01-数据'!$C$1:$ND$1))," ")</f>
        <v>0.0025</v>
      </c>
      <c r="G26" s="11">
        <f>IF(A26&lt;&gt;"",INDEX('[1]01-数据'!$C$11:$ND$11,MATCH(A26,'[1]01-数据'!$C$1:$ND$1))," ")</f>
        <v>10.34</v>
      </c>
      <c r="H26" s="11">
        <f>IF(A26&lt;&gt;"",INDEX('[1]01-数据'!$C$14:$ND$14,MATCH(A26,'[1]01-数据'!$C$1:$ND$1))," ")</f>
        <v>8.01</v>
      </c>
      <c r="I26" s="41"/>
      <c r="J26" s="42"/>
    </row>
    <row r="27" s="2" customFormat="1" spans="1:10">
      <c r="A27" s="25">
        <v>45315</v>
      </c>
      <c r="B27" s="11">
        <f>IF(A27&lt;&gt;"",INDEX('[1]01-数据'!$C$2:$ND$2,MATCH(A27,'[1]01-数据'!$C$1:$ND$1))," ")</f>
        <v>230.27</v>
      </c>
      <c r="C27" s="11">
        <f>IF(A27&lt;&gt;"",INDEX('[1]01-数据'!$C$3:$ND$3,MATCH(A27,'[1]01-数据'!$C$1:$ND$1))," ")</f>
        <v>6425.44</v>
      </c>
      <c r="D27" s="12">
        <f>IF(A27&lt;&gt;"",INDEX('[1]01-数据'!$C$4:$ND$4,MATCH(A27,'[1]01-数据'!$C$1:$ND$1))," ")</f>
        <v>-0.0069</v>
      </c>
      <c r="E27" s="11">
        <f>IF(A27&lt;&gt;"",INDEX('[1]01-数据'!$C$6:$ND$6,MATCH(A27,'[1]01-数据'!$C$1:$ND$1))," ")</f>
        <v>6425.44</v>
      </c>
      <c r="F27" s="15">
        <f>IF(A27&lt;&gt;"",INDEX('[1]01-数据'!$C$7:$ND$7,MATCH(A27,'[1]01-数据'!$C$1:$ND$1))," ")</f>
        <v>-0.0069</v>
      </c>
      <c r="G27" s="11">
        <f>IF(A27&lt;&gt;"",INDEX('[1]01-数据'!$C$11:$ND$11,MATCH(A27,'[1]01-数据'!$C$1:$ND$1))," ")</f>
        <v>10.12</v>
      </c>
      <c r="H27" s="11">
        <f>IF(A27&lt;&gt;"",INDEX('[1]01-数据'!$C$14:$ND$14,MATCH(A27,'[1]01-数据'!$C$1:$ND$1))," ")</f>
        <v>7.84</v>
      </c>
      <c r="I27" s="43"/>
      <c r="J27" s="44"/>
    </row>
    <row r="28" spans="1:10">
      <c r="A28" s="26">
        <v>45316</v>
      </c>
      <c r="B28" s="8">
        <f>IF(A28&lt;&gt;"",INDEX('[1]01-数据'!$C$2:$ND$2,MATCH(A28,'[1]01-数据'!$C$1:$ND$1))," ")</f>
        <v>224.32</v>
      </c>
      <c r="C28" s="8">
        <f>IF(A28&lt;&gt;"",INDEX('[1]01-数据'!$C$3:$ND$3,MATCH(A28,'[1]01-数据'!$C$1:$ND$1))," ")</f>
        <v>6649.76</v>
      </c>
      <c r="D28" s="9">
        <f>IF(A28&lt;&gt;"",INDEX('[1]01-数据'!$C$4:$ND$4,MATCH(A28,'[1]01-数据'!$C$1:$ND$1))," ")</f>
        <v>-0.0154</v>
      </c>
      <c r="E28" s="8">
        <f>IF(A28&lt;&gt;"",INDEX('[1]01-数据'!$C$6:$ND$6,MATCH(A28,'[1]01-数据'!$C$1:$ND$1))," ")</f>
        <v>6649.76</v>
      </c>
      <c r="F28" s="14">
        <f>IF(A28&lt;&gt;"",INDEX('[1]01-数据'!$C$7:$ND$7,MATCH(A28,'[1]01-数据'!$C$1:$ND$1))," ")</f>
        <v>-0.0154</v>
      </c>
      <c r="G28" s="8">
        <f>IF(A28&lt;&gt;"",INDEX('[1]01-数据'!$C$11:$ND$11,MATCH(A28,'[1]01-数据'!$C$1:$ND$1))," ")</f>
        <v>10.01</v>
      </c>
      <c r="H28" s="8">
        <f>IF(A28&lt;&gt;"",INDEX('[1]01-数据'!$C$14:$ND$14,MATCH(A28,'[1]01-数据'!$C$1:$ND$1))," ")</f>
        <v>7.64</v>
      </c>
      <c r="I28" s="41"/>
      <c r="J28" s="42"/>
    </row>
    <row r="29" spans="1:10">
      <c r="A29" s="25">
        <v>45317</v>
      </c>
      <c r="B29" s="11">
        <f>IF(A29&lt;&gt;"",INDEX('[1]01-数据'!$C$2:$ND$2,MATCH(A29,'[1]01-数据'!$C$1:$ND$1))," ")</f>
        <v>221.75</v>
      </c>
      <c r="C29" s="11">
        <f>IF(A29&lt;&gt;"",INDEX('[1]01-数据'!$C$3:$ND$3,MATCH(A29,'[1]01-数据'!$C$1:$ND$1))," ")</f>
        <v>6871.51</v>
      </c>
      <c r="D29" s="12">
        <f>IF(A29&lt;&gt;"",INDEX('[1]01-数据'!$C$4:$ND$4,MATCH(A29,'[1]01-数据'!$C$1:$ND$1))," ")</f>
        <v>-0.0228</v>
      </c>
      <c r="E29" s="11">
        <f>IF(A29&lt;&gt;"",INDEX('[1]01-数据'!$C$6:$ND$6,MATCH(A29,'[1]01-数据'!$C$1:$ND$1))," ")</f>
        <v>6871.51</v>
      </c>
      <c r="F29" s="15">
        <f>IF(A29&lt;&gt;"",INDEX('[1]01-数据'!$C$7:$ND$7,MATCH(A29,'[1]01-数据'!$C$1:$ND$1))," ")</f>
        <v>-0.0228</v>
      </c>
      <c r="G29" s="11">
        <f>IF(A29&lt;&gt;"",INDEX('[1]01-数据'!$C$11:$ND$11,MATCH(A29,'[1]01-数据'!$C$1:$ND$1))," ")</f>
        <v>10.07</v>
      </c>
      <c r="H29" s="11">
        <f>IF(A29&lt;&gt;"",INDEX('[1]01-数据'!$C$14:$ND$14,MATCH(A29,'[1]01-数据'!$C$1:$ND$1))," ")</f>
        <v>7.42</v>
      </c>
      <c r="I29" s="41"/>
      <c r="J29" s="42"/>
    </row>
    <row r="30" spans="1:10">
      <c r="A30" s="25">
        <v>45318</v>
      </c>
      <c r="B30" s="11">
        <f>IF(A30&lt;&gt;"",INDEX('[1]01-数据'!$C$2:$ND$2,MATCH(A30,'[1]01-数据'!$C$1:$ND$1))," ")</f>
        <v>218.35</v>
      </c>
      <c r="C30" s="11">
        <f>IF(A30&lt;&gt;"",INDEX('[1]01-数据'!$C$3:$ND$3,MATCH(A30,'[1]01-数据'!$C$1:$ND$1))," ")</f>
        <v>7089.86</v>
      </c>
      <c r="D30" s="12">
        <f>IF(A30&lt;&gt;"",INDEX('[1]01-数据'!$C$4:$ND$4,MATCH(A30,'[1]01-数据'!$C$1:$ND$1))," ")</f>
        <v>-0.029</v>
      </c>
      <c r="E30" s="11">
        <f>IF(A30&lt;&gt;"",INDEX('[1]01-数据'!$C$6:$ND$6,MATCH(A30,'[1]01-数据'!$C$1:$ND$1))," ")</f>
        <v>7089.86</v>
      </c>
      <c r="F30" s="15">
        <f>IF(A30&lt;&gt;"",INDEX('[1]01-数据'!$C$7:$ND$7,MATCH(A30,'[1]01-数据'!$C$1:$ND$1))," ")</f>
        <v>-0.029</v>
      </c>
      <c r="G30" s="11">
        <f>IF(A30&lt;&gt;"",INDEX('[1]01-数据'!$C$11:$ND$11,MATCH(A30,'[1]01-数据'!$C$1:$ND$1))," ")</f>
        <v>10.07</v>
      </c>
      <c r="H30" s="11">
        <f>IF(A30&lt;&gt;"",INDEX('[1]01-数据'!$C$14:$ND$14,MATCH(A30,'[1]01-数据'!$C$1:$ND$1))," ")</f>
        <v>7.4</v>
      </c>
      <c r="I30" s="41"/>
      <c r="J30" s="42"/>
    </row>
    <row r="31" spans="1:10">
      <c r="A31" s="26">
        <v>45319</v>
      </c>
      <c r="B31" s="8">
        <f>IF(A31&lt;&gt;"",INDEX('[1]01-数据'!$C$2:$ND$2,MATCH(A31,'[1]01-数据'!$C$1:$ND$1))," ")</f>
        <v>213.04</v>
      </c>
      <c r="C31" s="8">
        <f>IF(A31&lt;&gt;"",INDEX('[1]01-数据'!$C$3:$ND$3,MATCH(A31,'[1]01-数据'!$C$1:$ND$1))," ")</f>
        <v>7302.89</v>
      </c>
      <c r="D31" s="9">
        <f>IF(A31&lt;&gt;"",INDEX('[1]01-数据'!$C$4:$ND$4,MATCH(A31,'[1]01-数据'!$C$1:$ND$1))," ")</f>
        <v>-0.0344</v>
      </c>
      <c r="E31" s="8">
        <f>IF(A31&lt;&gt;"",INDEX('[1]01-数据'!$C$6:$ND$6,MATCH(A31,'[1]01-数据'!$C$1:$ND$1))," ")</f>
        <v>7302.89</v>
      </c>
      <c r="F31" s="14">
        <f>IF(A31&lt;&gt;"",INDEX('[1]01-数据'!$C$7:$ND$7,MATCH(A31,'[1]01-数据'!$C$1:$ND$1))," ")</f>
        <v>-0.0344</v>
      </c>
      <c r="G31" s="8">
        <f>IF(A31&lt;&gt;"",INDEX('[1]01-数据'!$C$11:$ND$11,MATCH(A31,'[1]01-数据'!$C$1:$ND$1))," ")</f>
        <v>9.8</v>
      </c>
      <c r="H31" s="8">
        <f>IF(A31&lt;&gt;"",INDEX('[1]01-数据'!$C$14:$ND$14,MATCH(A31,'[1]01-数据'!$C$1:$ND$1))," ")</f>
        <v>7.16</v>
      </c>
      <c r="I31" s="41"/>
      <c r="J31" s="42"/>
    </row>
    <row r="32" spans="1:10">
      <c r="A32" s="26">
        <v>45320</v>
      </c>
      <c r="B32" s="8">
        <f>IF(A32&lt;&gt;"",INDEX('[1]01-数据'!$C$2:$ND$2,MATCH(A32,'[1]01-数据'!$C$1:$ND$1))," ")</f>
        <v>200.8</v>
      </c>
      <c r="C32" s="8">
        <f>IF(A32&lt;&gt;"",INDEX('[1]01-数据'!$C$3:$ND$3,MATCH(A32,'[1]01-数据'!$C$1:$ND$1))," ")</f>
        <v>7503.7</v>
      </c>
      <c r="D32" s="9">
        <f>IF(A32&lt;&gt;"",INDEX('[1]01-数据'!$C$4:$ND$4,MATCH(A32,'[1]01-数据'!$C$1:$ND$1))," ")</f>
        <v>-0.0412</v>
      </c>
      <c r="E32" s="8">
        <f>IF(A32&lt;&gt;"",INDEX('[1]01-数据'!$C$6:$ND$6,MATCH(A32,'[1]01-数据'!$C$1:$ND$1))," ")</f>
        <v>7503.7</v>
      </c>
      <c r="F32" s="14">
        <f>IF(A32&lt;&gt;"",INDEX('[1]01-数据'!$C$7:$ND$7,MATCH(A32,'[1]01-数据'!$C$1:$ND$1))," ")</f>
        <v>-0.0412</v>
      </c>
      <c r="G32" s="8">
        <f>IF(A32&lt;&gt;"",INDEX('[1]01-数据'!$C$11:$ND$11,MATCH(A32,'[1]01-数据'!$C$1:$ND$1))," ")</f>
        <v>8.93</v>
      </c>
      <c r="H32" s="8">
        <f>IF(A32&lt;&gt;"",INDEX('[1]01-数据'!$C$14:$ND$14,MATCH(A32,'[1]01-数据'!$C$1:$ND$1))," ")</f>
        <v>7.17</v>
      </c>
      <c r="I32" s="48"/>
      <c r="J32" s="42"/>
    </row>
    <row r="33" spans="1:10">
      <c r="A33" s="26">
        <v>45321</v>
      </c>
      <c r="B33" s="8">
        <f>IF(A33&lt;&gt;"",INDEX('[1]01-数据'!$C$2:$ND$2,MATCH(A33,'[1]01-数据'!$C$1:$ND$1))," ")</f>
        <v>198.09</v>
      </c>
      <c r="C33" s="8">
        <f>IF(A33&lt;&gt;"",INDEX('[1]01-数据'!$C$3:$ND$3,MATCH(A33,'[1]01-数据'!$C$1:$ND$1))," ")</f>
        <v>7701.79</v>
      </c>
      <c r="D33" s="9">
        <f>IF(A33&lt;&gt;"",INDEX('[1]01-数据'!$C$4:$ND$4,MATCH(A33,'[1]01-数据'!$C$1:$ND$1))," ")</f>
        <v>-0.0471</v>
      </c>
      <c r="E33" s="8">
        <f>IF(A33&lt;&gt;"",INDEX('[1]01-数据'!$C$6:$ND$6,MATCH(A33,'[1]01-数据'!$C$1:$ND$1))," ")</f>
        <v>7701.79</v>
      </c>
      <c r="F33" s="14">
        <f>IF(A33&lt;&gt;"",INDEX('[1]01-数据'!$C$7:$ND$7,MATCH(A33,'[1]01-数据'!$C$1:$ND$1))," ")</f>
        <v>-0.0471</v>
      </c>
      <c r="G33" s="8">
        <f>IF(A33&lt;&gt;"",INDEX('[1]01-数据'!$C$11:$ND$11,MATCH(A33,'[1]01-数据'!$C$1:$ND$1))," ")</f>
        <v>8.99</v>
      </c>
      <c r="H33" s="8">
        <f>IF(A33&lt;&gt;"",INDEX('[1]01-数据'!$C$14:$ND$14,MATCH(A33,'[1]01-数据'!$C$1:$ND$1))," ")</f>
        <v>6.85</v>
      </c>
      <c r="I33" s="41"/>
      <c r="J33" s="42"/>
    </row>
    <row r="34" spans="1:10">
      <c r="A34" s="26">
        <v>45322</v>
      </c>
      <c r="B34" s="8">
        <f>IF(A34&lt;&gt;"",INDEX('[1]01-数据'!$C$2:$ND$2,MATCH(A34,'[1]01-数据'!$C$1:$ND$1))," ")</f>
        <v>202.79</v>
      </c>
      <c r="C34" s="8">
        <f>IF(A34&lt;&gt;"",INDEX('[1]01-数据'!$C$3:$ND$3,MATCH(A34,'[1]01-数据'!$C$1:$ND$1))," ")</f>
        <v>7904.58</v>
      </c>
      <c r="D34" s="9">
        <f>IF(A34&lt;&gt;"",INDEX('[1]01-数据'!$C$4:$ND$4,MATCH(A34,'[1]01-数据'!$C$1:$ND$1))," ")</f>
        <v>-0.0515</v>
      </c>
      <c r="E34" s="8">
        <f>IF(A34&lt;&gt;"",INDEX('[1]01-数据'!$C$6:$ND$6,MATCH(A34,'[1]01-数据'!$C$1:$ND$1))," ")</f>
        <v>7904.58</v>
      </c>
      <c r="F34" s="14">
        <f>IF(A34&lt;&gt;"",INDEX('[1]01-数据'!$C$7:$ND$7,MATCH(A34,'[1]01-数据'!$C$1:$ND$1))," ")</f>
        <v>-0.0515</v>
      </c>
      <c r="G34" s="8">
        <f>IF(A34&lt;&gt;"",INDEX('[1]01-数据'!$C$11:$ND$11,MATCH(A34,'[1]01-数据'!$C$1:$ND$1))," ")</f>
        <v>9.22</v>
      </c>
      <c r="H34" s="8">
        <f>IF(A34&lt;&gt;"",INDEX('[1]01-数据'!$C$14:$ND$14,MATCH(A34,'[1]01-数据'!$C$1:$ND$1))," ")</f>
        <v>6.87</v>
      </c>
      <c r="I34" s="41"/>
      <c r="J34" s="42"/>
    </row>
    <row r="35" spans="1:10">
      <c r="A35" s="13" t="s">
        <v>9</v>
      </c>
      <c r="B35" s="13"/>
      <c r="C35" s="13"/>
      <c r="D35" s="13"/>
      <c r="E35" s="13"/>
      <c r="F35" s="13"/>
      <c r="G35" s="16"/>
      <c r="H35" s="16"/>
      <c r="J35" s="37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I37"/>
  <sheetViews>
    <sheetView zoomScale="145" zoomScaleNormal="145" topLeftCell="A13" workbookViewId="0">
      <selection activeCell="A32" sqref="A32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9" max="9" width="9.33333333333333"/>
  </cols>
  <sheetData>
    <row r="1" ht="18.75" spans="1:8">
      <c r="A1" s="3" t="s">
        <v>10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27">
        <v>45323</v>
      </c>
      <c r="B4" s="8">
        <f>IF(A4&lt;&gt;"",INDEX('[1]01-数据'!$C$2:$ND$2,MATCH(A4,'[1]01-数据'!$C$1:$ND$1))," ")</f>
        <v>207.16</v>
      </c>
      <c r="C4" s="8">
        <f>IF(A4&lt;&gt;"",INDEX('[1]01-数据'!$C$3:$ND$3,MATCH(A4,'[1]01-数据'!$C$1:$ND$1))," ")</f>
        <v>207.16</v>
      </c>
      <c r="D4" s="9">
        <f>IF(A4&lt;&gt;"",INDEX('[1]01-数据'!$C$4:$ND$4,MATCH(A4,'[1]01-数据'!$C$1:$ND$1))," ")</f>
        <v>-0.1758</v>
      </c>
      <c r="E4" s="8">
        <f>IF(A4&lt;&gt;"",INDEX('[1]01-数据'!$C$6:$ND$6,MATCH(A4,'[1]01-数据'!$C$1:$ND$1))," ")</f>
        <v>8111.74</v>
      </c>
      <c r="F4" s="14">
        <f>IF(A4&lt;&gt;"",INDEX('[1]01-数据'!$C$7:$ND$7,MATCH(A4,'[1]01-数据'!$C$1:$ND$1))," ")</f>
        <v>-0.0552</v>
      </c>
      <c r="G4" s="8">
        <f>IF(A4&lt;&gt;"",INDEX('[1]01-数据'!$C$11:$ND$11,MATCH(A4,'[1]01-数据'!$C$1:$ND$1))," ")</f>
        <v>9.43</v>
      </c>
      <c r="H4" s="8">
        <f>IF(A4&lt;&gt;"",INDEX('[1]01-数据'!$C$14:$ND$14,MATCH(A4,'[1]01-数据'!$C$1:$ND$1))," ")</f>
        <v>6.96</v>
      </c>
    </row>
    <row r="5" spans="1:8">
      <c r="A5" s="27">
        <v>45324</v>
      </c>
      <c r="B5" s="8">
        <f>IF(A5&lt;&gt;"",INDEX('[1]01-数据'!$C$2:$ND$2,MATCH(A5,'[1]01-数据'!$C$1:$ND$1))," ")</f>
        <v>210.05</v>
      </c>
      <c r="C5" s="8">
        <f>IF(A5&lt;&gt;"",INDEX('[1]01-数据'!$C$3:$ND$3,MATCH(A5,'[1]01-数据'!$C$1:$ND$1))," ")</f>
        <v>417.2</v>
      </c>
      <c r="D5" s="9">
        <f>IF(A5&lt;&gt;"",INDEX('[1]01-数据'!$C$4:$ND$4,MATCH(A5,'[1]01-数据'!$C$1:$ND$1))," ")</f>
        <v>-0.1694</v>
      </c>
      <c r="E5" s="8">
        <f>IF(A5&lt;&gt;"",INDEX('[1]01-数据'!$C$6:$ND$6,MATCH(A5,'[1]01-数据'!$C$1:$ND$1))," ")</f>
        <v>8321.78</v>
      </c>
      <c r="F5" s="14">
        <f>IF(A5&lt;&gt;"",INDEX('[1]01-数据'!$C$7:$ND$7,MATCH(A5,'[1]01-数据'!$C$1:$ND$1))," ")</f>
        <v>-0.0582</v>
      </c>
      <c r="G5" s="8">
        <f>IF(A5&lt;&gt;"",INDEX('[1]01-数据'!$C$11:$ND$11,MATCH(A5,'[1]01-数据'!$C$1:$ND$1))," ")</f>
        <v>9.52</v>
      </c>
      <c r="H5" s="8">
        <f>IF(A5&lt;&gt;"",INDEX('[1]01-数据'!$C$14:$ND$14,MATCH(A5,'[1]01-数据'!$C$1:$ND$1))," ")</f>
        <v>7.07</v>
      </c>
    </row>
    <row r="6" spans="1:8">
      <c r="A6" s="27">
        <v>45325</v>
      </c>
      <c r="B6" s="8">
        <f>IF(A6&lt;&gt;"",INDEX('[1]01-数据'!$C$2:$ND$2,MATCH(A6,'[1]01-数据'!$C$1:$ND$1))," ")</f>
        <v>213.68</v>
      </c>
      <c r="C6" s="8">
        <f>IF(A6&lt;&gt;"",INDEX('[1]01-数据'!$C$3:$ND$3,MATCH(A6,'[1]01-数据'!$C$1:$ND$1))," ")</f>
        <v>630.89</v>
      </c>
      <c r="D6" s="9">
        <f>IF(A6&lt;&gt;"",INDEX('[1]01-数据'!$C$4:$ND$4,MATCH(A6,'[1]01-数据'!$C$1:$ND$1))," ")</f>
        <v>-0.1559</v>
      </c>
      <c r="E6" s="8">
        <f>IF(A6&lt;&gt;"",INDEX('[1]01-数据'!$C$6:$ND$6,MATCH(A6,'[1]01-数据'!$C$1:$ND$1))," ")</f>
        <v>8535.47</v>
      </c>
      <c r="F6" s="14">
        <f>IF(A6&lt;&gt;"",INDEX('[1]01-数据'!$C$7:$ND$7,MATCH(A6,'[1]01-数据'!$C$1:$ND$1))," ")</f>
        <v>-0.0601</v>
      </c>
      <c r="G6" s="8">
        <f>IF(A6&lt;&gt;"",INDEX('[1]01-数据'!$C$11:$ND$11,MATCH(A6,'[1]01-数据'!$C$1:$ND$1))," ")</f>
        <v>9.81</v>
      </c>
      <c r="H6" s="8">
        <f>IF(A6&lt;&gt;"",INDEX('[1]01-数据'!$C$14:$ND$14,MATCH(A6,'[1]01-数据'!$C$1:$ND$1))," ")</f>
        <v>7.21</v>
      </c>
    </row>
    <row r="7" spans="1:8">
      <c r="A7" s="27">
        <v>45326</v>
      </c>
      <c r="B7" s="8">
        <f>IF(A7&lt;&gt;"",INDEX('[1]01-数据'!$C$2:$ND$2,MATCH(A7,'[1]01-数据'!$C$1:$ND$1))," ")</f>
        <v>218.3</v>
      </c>
      <c r="C7" s="8">
        <f>IF(A7&lt;&gt;"",INDEX('[1]01-数据'!$C$3:$ND$3,MATCH(A7,'[1]01-数据'!$C$1:$ND$1))," ")</f>
        <v>849.19</v>
      </c>
      <c r="D7" s="9">
        <f>IF(A7&lt;&gt;"",INDEX('[1]01-数据'!$C$4:$ND$4,MATCH(A7,'[1]01-数据'!$C$1:$ND$1))," ")</f>
        <v>-0.1432</v>
      </c>
      <c r="E7" s="8">
        <f>IF(A7&lt;&gt;"",INDEX('[1]01-数据'!$C$6:$ND$6,MATCH(A7,'[1]01-数据'!$C$1:$ND$1))," ")</f>
        <v>8753.77</v>
      </c>
      <c r="F7" s="14">
        <f>IF(A7&lt;&gt;"",INDEX('[1]01-数据'!$C$7:$ND$7,MATCH(A7,'[1]01-数据'!$C$1:$ND$1))," ")</f>
        <v>-0.0613</v>
      </c>
      <c r="G7" s="8">
        <f>IF(A7&lt;&gt;"",INDEX('[1]01-数据'!$C$11:$ND$11,MATCH(A7,'[1]01-数据'!$C$1:$ND$1))," ")</f>
        <v>9.97</v>
      </c>
      <c r="H7" s="8">
        <f>IF(A7&lt;&gt;"",INDEX('[1]01-数据'!$C$14:$ND$14,MATCH(A7,'[1]01-数据'!$C$1:$ND$1))," ")</f>
        <v>7.4</v>
      </c>
    </row>
    <row r="8" spans="1:8">
      <c r="A8" s="28">
        <v>45327</v>
      </c>
      <c r="B8" s="11">
        <f>IF(A8&lt;&gt;"",INDEX('[1]01-数据'!$C$2:$ND$2,MATCH(A8,'[1]01-数据'!$C$1:$ND$1))," ")</f>
        <v>232.33</v>
      </c>
      <c r="C8" s="11">
        <f>IF(A8&lt;&gt;"",INDEX('[1]01-数据'!$C$3:$ND$3,MATCH(A8,'[1]01-数据'!$C$1:$ND$1))," ")</f>
        <v>1081.52</v>
      </c>
      <c r="D8" s="12">
        <f>IF(A8&lt;&gt;"",INDEX('[1]01-数据'!$C$4:$ND$4,MATCH(A8,'[1]01-数据'!$C$1:$ND$1))," ")</f>
        <v>-0.1216</v>
      </c>
      <c r="E8" s="11">
        <f>IF(A8&lt;&gt;"",INDEX('[1]01-数据'!$C$6:$ND$6,MATCH(A8,'[1]01-数据'!$C$1:$ND$1))," ")</f>
        <v>8986.1</v>
      </c>
      <c r="F8" s="15">
        <f>IF(A8&lt;&gt;"",INDEX('[1]01-数据'!$C$7:$ND$7,MATCH(A8,'[1]01-数据'!$C$1:$ND$1))," ")</f>
        <v>-0.0606</v>
      </c>
      <c r="G8" s="11">
        <f>IF(A8&lt;&gt;"",INDEX('[1]01-数据'!$C$11:$ND$11,MATCH(A8,'[1]01-数据'!$C$1:$ND$1))," ")</f>
        <v>10.55</v>
      </c>
      <c r="H8" s="11">
        <f>IF(A8&lt;&gt;"",INDEX('[1]01-数据'!$C$14:$ND$14,MATCH(A8,'[1]01-数据'!$C$1:$ND$1))," ")</f>
        <v>7.53</v>
      </c>
    </row>
    <row r="9" spans="1:8">
      <c r="A9" s="28">
        <v>45328</v>
      </c>
      <c r="B9" s="11">
        <f>IF(A9&lt;&gt;"",INDEX('[1]01-数据'!$C$2:$ND$2,MATCH(A9,'[1]01-数据'!$C$1:$ND$1))," ")</f>
        <v>242.34</v>
      </c>
      <c r="C9" s="11">
        <f>IF(A9&lt;&gt;"",INDEX('[1]01-数据'!$C$3:$ND$3,MATCH(A9,'[1]01-数据'!$C$1:$ND$1))," ")</f>
        <v>1323.86</v>
      </c>
      <c r="D9" s="12">
        <f>IF(A9&lt;&gt;"",INDEX('[1]01-数据'!$C$4:$ND$4,MATCH(A9,'[1]01-数据'!$C$1:$ND$1))," ")</f>
        <v>-0.097</v>
      </c>
      <c r="E9" s="11">
        <f>IF(A9&lt;&gt;"",INDEX('[1]01-数据'!$C$6:$ND$6,MATCH(A9,'[1]01-数据'!$C$1:$ND$1))," ")</f>
        <v>9228.44</v>
      </c>
      <c r="F9" s="15">
        <f>IF(A9&lt;&gt;"",INDEX('[1]01-数据'!$C$7:$ND$7,MATCH(A9,'[1]01-数据'!$C$1:$ND$1))," ")</f>
        <v>-0.0583</v>
      </c>
      <c r="G9" s="11">
        <f>IF(A9&lt;&gt;"",INDEX('[1]01-数据'!$C$11:$ND$11,MATCH(A9,'[1]01-数据'!$C$1:$ND$1))," ")</f>
        <v>10.89</v>
      </c>
      <c r="H9" s="11">
        <f>IF(A9&lt;&gt;"",INDEX('[1]01-数据'!$C$14:$ND$14,MATCH(A9,'[1]01-数据'!$C$1:$ND$1))," ")</f>
        <v>7.92</v>
      </c>
    </row>
    <row r="10" spans="1:8">
      <c r="A10" s="28">
        <v>45329</v>
      </c>
      <c r="B10" s="11">
        <f>IF(A10&lt;&gt;"",INDEX('[1]01-数据'!$C$2:$ND$2,MATCH(A10,'[1]01-数据'!$C$1:$ND$1))," ")</f>
        <v>256.36</v>
      </c>
      <c r="C10" s="11">
        <f>IF(A10&lt;&gt;"",INDEX('[1]01-数据'!$C$3:$ND$3,MATCH(A10,'[1]01-数据'!$C$1:$ND$1))," ")</f>
        <v>1580.22</v>
      </c>
      <c r="D10" s="12">
        <f>IF(A10&lt;&gt;"",INDEX('[1]01-数据'!$C$4:$ND$4,MATCH(A10,'[1]01-数据'!$C$1:$ND$1))," ")</f>
        <v>-0.0671</v>
      </c>
      <c r="E10" s="11">
        <f>IF(A10&lt;&gt;"",INDEX('[1]01-数据'!$C$6:$ND$6,MATCH(A10,'[1]01-数据'!$C$1:$ND$1))," ")</f>
        <v>9484.8</v>
      </c>
      <c r="F10" s="15">
        <f>IF(A10&lt;&gt;"",INDEX('[1]01-数据'!$C$7:$ND$7,MATCH(A10,'[1]01-数据'!$C$1:$ND$1))," ")</f>
        <v>-0.0542</v>
      </c>
      <c r="G10" s="11">
        <f>IF(A10&lt;&gt;"",INDEX('[1]01-数据'!$C$11:$ND$11,MATCH(A10,'[1]01-数据'!$C$1:$ND$1))," ")</f>
        <v>11.72</v>
      </c>
      <c r="H10" s="11">
        <f>IF(A10&lt;&gt;"",INDEX('[1]01-数据'!$C$14:$ND$14,MATCH(A10,'[1]01-数据'!$C$1:$ND$1))," ")</f>
        <v>8.24</v>
      </c>
    </row>
    <row r="11" spans="1:8">
      <c r="A11" s="28">
        <v>45330</v>
      </c>
      <c r="B11" s="11">
        <f>IF(A11&lt;&gt;"",INDEX('[1]01-数据'!$C$2:$ND$2,MATCH(A11,'[1]01-数据'!$C$1:$ND$1))," ")</f>
        <v>262.76</v>
      </c>
      <c r="C11" s="11">
        <f>IF(A11&lt;&gt;"",INDEX('[1]01-数据'!$C$3:$ND$3,MATCH(A11,'[1]01-数据'!$C$1:$ND$1))," ")</f>
        <v>1842.98</v>
      </c>
      <c r="D11" s="12">
        <f>IF(A11&lt;&gt;"",INDEX('[1]01-数据'!$C$4:$ND$4,MATCH(A11,'[1]01-数据'!$C$1:$ND$1))," ")</f>
        <v>-0.0362</v>
      </c>
      <c r="E11" s="11">
        <f>IF(A11&lt;&gt;"",INDEX('[1]01-数据'!$C$6:$ND$6,MATCH(A11,'[1]01-数据'!$C$1:$ND$1))," ")</f>
        <v>9747.56</v>
      </c>
      <c r="F11" s="15">
        <f>IF(A11&lt;&gt;"",INDEX('[1]01-数据'!$C$7:$ND$7,MATCH(A11,'[1]01-数据'!$C$1:$ND$1))," ")</f>
        <v>-0.0487</v>
      </c>
      <c r="G11" s="11">
        <f>IF(A11&lt;&gt;"",INDEX('[1]01-数据'!$C$11:$ND$11,MATCH(A11,'[1]01-数据'!$C$1:$ND$1))," ")</f>
        <v>11.84</v>
      </c>
      <c r="H11" s="11">
        <f>IF(A11&lt;&gt;"",INDEX('[1]01-数据'!$C$14:$ND$14,MATCH(A11,'[1]01-数据'!$C$1:$ND$1))," ")</f>
        <v>8.64</v>
      </c>
    </row>
    <row r="12" spans="1:8">
      <c r="A12" s="27">
        <v>45331</v>
      </c>
      <c r="B12" s="8">
        <f>IF(A12&lt;&gt;"",INDEX('[1]01-数据'!$C$2:$ND$2,MATCH(A12,'[1]01-数据'!$C$1:$ND$1))," ")</f>
        <v>257.51</v>
      </c>
      <c r="C12" s="8">
        <f>IF(A12&lt;&gt;"",INDEX('[1]01-数据'!$C$3:$ND$3,MATCH(A12,'[1]01-数据'!$C$1:$ND$1))," ")</f>
        <v>2100.49</v>
      </c>
      <c r="D12" s="9">
        <f>IF(A12&lt;&gt;"",INDEX('[1]01-数据'!$C$4:$ND$4,MATCH(A12,'[1]01-数据'!$C$1:$ND$1))," ")</f>
        <v>-0.009</v>
      </c>
      <c r="E12" s="8">
        <f>IF(A12&lt;&gt;"",INDEX('[1]01-数据'!$C$6:$ND$6,MATCH(A12,'[1]01-数据'!$C$1:$ND$1))," ")</f>
        <v>10005.07</v>
      </c>
      <c r="F12" s="14">
        <f>IF(A12&lt;&gt;"",INDEX('[1]01-数据'!$C$7:$ND$7,MATCH(A12,'[1]01-数据'!$C$1:$ND$1))," ")</f>
        <v>-0.0429</v>
      </c>
      <c r="G12" s="8">
        <f>IF(A12&lt;&gt;"",INDEX('[1]01-数据'!$C$11:$ND$11,MATCH(A12,'[1]01-数据'!$C$1:$ND$1))," ")</f>
        <v>11.59</v>
      </c>
      <c r="H12" s="8">
        <f>IF(A12&lt;&gt;"",INDEX('[1]01-数据'!$C$14:$ND$14,MATCH(A12,'[1]01-数据'!$C$1:$ND$1))," ")</f>
        <v>8.78</v>
      </c>
    </row>
    <row r="13" spans="1:9">
      <c r="A13" s="28">
        <v>45332</v>
      </c>
      <c r="B13" s="11">
        <f>IF(A13&lt;&gt;"",INDEX('[1]01-数据'!$C$2:$ND$2,MATCH(A13,'[1]01-数据'!$C$1:$ND$1))," ")</f>
        <v>261.08</v>
      </c>
      <c r="C13" s="11">
        <f>IF(A13&lt;&gt;"",INDEX('[1]01-数据'!$C$3:$ND$3,MATCH(A13,'[1]01-数据'!$C$1:$ND$1))," ")</f>
        <v>2361.58</v>
      </c>
      <c r="D13" s="12">
        <f>IF(A13&lt;&gt;"",INDEX('[1]01-数据'!$C$4:$ND$4,MATCH(A13,'[1]01-数据'!$C$1:$ND$1))," ")</f>
        <v>0.0227</v>
      </c>
      <c r="E13" s="11">
        <f>IF(A13&lt;&gt;"",INDEX('[1]01-数据'!$C$6:$ND$6,MATCH(A13,'[1]01-数据'!$C$1:$ND$1))," ")</f>
        <v>10266.16</v>
      </c>
      <c r="F13" s="15">
        <f>IF(A13&lt;&gt;"",INDEX('[1]01-数据'!$C$7:$ND$7,MATCH(A13,'[1]01-数据'!$C$1:$ND$1))," ")</f>
        <v>-0.0354</v>
      </c>
      <c r="G13" s="11">
        <f>IF(A13&lt;&gt;"",INDEX('[1]01-数据'!$C$11:$ND$11,MATCH(A13,'[1]01-数据'!$C$1:$ND$1))," ")</f>
        <v>11.65</v>
      </c>
      <c r="H13" s="11">
        <f>IF(A13&lt;&gt;"",INDEX('[1]01-数据'!$C$14:$ND$14,MATCH(A13,'[1]01-数据'!$C$1:$ND$1))," ")</f>
        <v>8.69</v>
      </c>
      <c r="I13" s="17"/>
    </row>
    <row r="14" spans="1:9">
      <c r="A14" s="28">
        <v>45333</v>
      </c>
      <c r="B14" s="11">
        <f>IF(A14&lt;&gt;"",INDEX('[1]01-数据'!$C$2:$ND$2,MATCH(A14,'[1]01-数据'!$C$1:$ND$1))," ")</f>
        <v>263.63</v>
      </c>
      <c r="C14" s="11">
        <f>IF(A14&lt;&gt;"",INDEX('[1]01-数据'!$C$3:$ND$3,MATCH(A14,'[1]01-数据'!$C$1:$ND$1))," ")</f>
        <v>2625.21</v>
      </c>
      <c r="D14" s="12">
        <f>IF(A14&lt;&gt;"",INDEX('[1]01-数据'!$C$4:$ND$4,MATCH(A14,'[1]01-数据'!$C$1:$ND$1))," ")</f>
        <v>0.0531</v>
      </c>
      <c r="E14" s="11">
        <f>IF(A14&lt;&gt;"",INDEX('[1]01-数据'!$C$6:$ND$6,MATCH(A14,'[1]01-数据'!$C$1:$ND$1))," ")</f>
        <v>10529.79</v>
      </c>
      <c r="F14" s="15">
        <f>IF(A14&lt;&gt;"",INDEX('[1]01-数据'!$C$7:$ND$7,MATCH(A14,'[1]01-数据'!$C$1:$ND$1))," ")</f>
        <v>-0.0275</v>
      </c>
      <c r="G14" s="11">
        <f>IF(A14&lt;&gt;"",INDEX('[1]01-数据'!$C$11:$ND$11,MATCH(A14,'[1]01-数据'!$C$1:$ND$1))," ")</f>
        <v>11.78</v>
      </c>
      <c r="H14" s="11">
        <f>IF(A14&lt;&gt;"",INDEX('[1]01-数据'!$C$14:$ND$14,MATCH(A14,'[1]01-数据'!$C$1:$ND$1))," ")</f>
        <v>8.69</v>
      </c>
      <c r="I14" s="17"/>
    </row>
    <row r="15" spans="1:9">
      <c r="A15" s="28">
        <v>45334</v>
      </c>
      <c r="B15" s="11">
        <f>IF(A15&lt;&gt;"",INDEX('[1]01-数据'!$C$2:$ND$2,MATCH(A15,'[1]01-数据'!$C$1:$ND$1))," ")</f>
        <v>259.22</v>
      </c>
      <c r="C15" s="11">
        <f>IF(A15&lt;&gt;"",INDEX('[1]01-数据'!$C$3:$ND$3,MATCH(A15,'[1]01-数据'!$C$1:$ND$1))," ")</f>
        <v>2884.43</v>
      </c>
      <c r="D15" s="12">
        <f>IF(A15&lt;&gt;"",INDEX('[1]01-数据'!$C$4:$ND$4,MATCH(A15,'[1]01-数据'!$C$1:$ND$1))," ")</f>
        <v>0.0785</v>
      </c>
      <c r="E15" s="11">
        <f>IF(A15&lt;&gt;"",INDEX('[1]01-数据'!$C$6:$ND$6,MATCH(A15,'[1]01-数据'!$C$1:$ND$1))," ")</f>
        <v>10789.01</v>
      </c>
      <c r="F15" s="15">
        <f>IF(A15&lt;&gt;"",INDEX('[1]01-数据'!$C$7:$ND$7,MATCH(A15,'[1]01-数据'!$C$1:$ND$1))," ")</f>
        <v>-0.0199</v>
      </c>
      <c r="G15" s="11">
        <f>IF(A15&lt;&gt;"",INDEX('[1]01-数据'!$C$11:$ND$11,MATCH(A15,'[1]01-数据'!$C$1:$ND$1))," ")</f>
        <v>11.45</v>
      </c>
      <c r="H15" s="11">
        <f>IF(A15&lt;&gt;"",INDEX('[1]01-数据'!$C$14:$ND$14,MATCH(A15,'[1]01-数据'!$C$1:$ND$1))," ")</f>
        <v>8.68</v>
      </c>
      <c r="I15" s="17"/>
    </row>
    <row r="16" spans="1:8">
      <c r="A16" s="28">
        <v>45335</v>
      </c>
      <c r="B16" s="11">
        <f>IF(A16&lt;&gt;"",INDEX('[1]01-数据'!$C$2:$ND$2,MATCH(A16,'[1]01-数据'!$C$1:$ND$1))," ")</f>
        <v>262.44</v>
      </c>
      <c r="C16" s="11">
        <f>IF(A16&lt;&gt;"",INDEX('[1]01-数据'!$C$3:$ND$3,MATCH(A16,'[1]01-数据'!$C$1:$ND$1))," ")</f>
        <v>3146.87</v>
      </c>
      <c r="D16" s="12">
        <f>IF(A16&lt;&gt;"",INDEX('[1]01-数据'!$C$4:$ND$4,MATCH(A16,'[1]01-数据'!$C$1:$ND$1))," ")</f>
        <v>0.1025</v>
      </c>
      <c r="E16" s="11">
        <f>IF(A16&lt;&gt;"",INDEX('[1]01-数据'!$C$6:$ND$6,MATCH(A16,'[1]01-数据'!$C$1:$ND$1))," ")</f>
        <v>11051.45</v>
      </c>
      <c r="F16" s="15">
        <f>IF(A16&lt;&gt;"",INDEX('[1]01-数据'!$C$7:$ND$7,MATCH(A16,'[1]01-数据'!$C$1:$ND$1))," ")</f>
        <v>-0.0122</v>
      </c>
      <c r="G16" s="11">
        <f>IF(A16&lt;&gt;"",INDEX('[1]01-数据'!$C$11:$ND$11,MATCH(A16,'[1]01-数据'!$C$1:$ND$1))," ")</f>
        <v>11.61</v>
      </c>
      <c r="H16" s="11">
        <f>IF(A16&lt;&gt;"",INDEX('[1]01-数据'!$C$14:$ND$14,MATCH(A16,'[1]01-数据'!$C$1:$ND$1))," ")</f>
        <v>8.74</v>
      </c>
    </row>
    <row r="17" spans="1:8">
      <c r="A17" s="28">
        <v>45336</v>
      </c>
      <c r="B17" s="11">
        <f>IF(A17&lt;&gt;"",INDEX('[1]01-数据'!$C$2:$ND$2,MATCH(A17,'[1]01-数据'!$C$1:$ND$1))," ")</f>
        <v>265.01</v>
      </c>
      <c r="C17" s="11">
        <f>IF(A17&lt;&gt;"",INDEX('[1]01-数据'!$C$3:$ND$3,MATCH(A17,'[1]01-数据'!$C$1:$ND$1))," ")</f>
        <v>3411.88</v>
      </c>
      <c r="D17" s="12">
        <f>IF(A17&lt;&gt;"",INDEX('[1]01-数据'!$C$4:$ND$4,MATCH(A17,'[1]01-数据'!$C$1:$ND$1))," ")</f>
        <v>0.1238</v>
      </c>
      <c r="E17" s="11">
        <f>IF(A17&lt;&gt;"",INDEX('[1]01-数据'!$C$6:$ND$6,MATCH(A17,'[1]01-数据'!$C$1:$ND$1))," ")</f>
        <v>11316.46</v>
      </c>
      <c r="F17" s="15">
        <f>IF(A17&lt;&gt;"",INDEX('[1]01-数据'!$C$7:$ND$7,MATCH(A17,'[1]01-数据'!$C$1:$ND$1))," ")</f>
        <v>-0.0047</v>
      </c>
      <c r="G17" s="11">
        <f>IF(A17&lt;&gt;"",INDEX('[1]01-数据'!$C$11:$ND$11,MATCH(A17,'[1]01-数据'!$C$1:$ND$1))," ")</f>
        <v>11.81</v>
      </c>
      <c r="H17" s="11">
        <f>IF(A17&lt;&gt;"",INDEX('[1]01-数据'!$C$14:$ND$14,MATCH(A17,'[1]01-数据'!$C$1:$ND$1))," ")</f>
        <v>8.86</v>
      </c>
    </row>
    <row r="18" spans="1:8">
      <c r="A18" s="27">
        <v>45337</v>
      </c>
      <c r="B18" s="8">
        <f>IF(A18&lt;&gt;"",INDEX('[1]01-数据'!$C$2:$ND$2,MATCH(A18,'[1]01-数据'!$C$1:$ND$1))," ")</f>
        <v>260.81</v>
      </c>
      <c r="C18" s="8">
        <f>IF(A18&lt;&gt;"",INDEX('[1]01-数据'!$C$3:$ND$3,MATCH(A18,'[1]01-数据'!$C$1:$ND$1))," ")</f>
        <v>3672.69</v>
      </c>
      <c r="D18" s="9">
        <f>IF(A18&lt;&gt;"",INDEX('[1]01-数据'!$C$4:$ND$4,MATCH(A18,'[1]01-数据'!$C$1:$ND$1))," ")</f>
        <v>0.1388</v>
      </c>
      <c r="E18" s="8">
        <f>IF(A18&lt;&gt;"",INDEX('[1]01-数据'!$C$6:$ND$6,MATCH(A18,'[1]01-数据'!$C$1:$ND$1))," ")</f>
        <v>11577.27</v>
      </c>
      <c r="F18" s="14">
        <f>IF(A18&lt;&gt;"",INDEX('[1]01-数据'!$C$7:$ND$7,MATCH(A18,'[1]01-数据'!$C$1:$ND$1))," ")</f>
        <v>0.0016</v>
      </c>
      <c r="G18" s="8">
        <f>IF(A18&lt;&gt;"",INDEX('[1]01-数据'!$C$11:$ND$11,MATCH(A18,'[1]01-数据'!$C$1:$ND$1))," ")</f>
        <v>11.47</v>
      </c>
      <c r="H18" s="8">
        <f>IF(A18&lt;&gt;"",INDEX('[1]01-数据'!$C$14:$ND$14,MATCH(A18,'[1]01-数据'!$C$1:$ND$1))," ")</f>
        <v>8.88</v>
      </c>
    </row>
    <row r="19" spans="1:8">
      <c r="A19" s="27">
        <v>45338</v>
      </c>
      <c r="B19" s="8">
        <f>IF(A19&lt;&gt;"",INDEX('[1]01-数据'!$C$2:$ND$2,MATCH(A19,'[1]01-数据'!$C$1:$ND$1))," ")</f>
        <v>255.15</v>
      </c>
      <c r="C19" s="8">
        <f>IF(A19&lt;&gt;"",INDEX('[1]01-数据'!$C$3:$ND$3,MATCH(A19,'[1]01-数据'!$C$1:$ND$1))," ")</f>
        <v>3927.84</v>
      </c>
      <c r="D19" s="9">
        <f>IF(A19&lt;&gt;"",INDEX('[1]01-数据'!$C$4:$ND$4,MATCH(A19,'[1]01-数据'!$C$1:$ND$1))," ")</f>
        <v>0.1489</v>
      </c>
      <c r="E19" s="8">
        <f>IF(A19&lt;&gt;"",INDEX('[1]01-数据'!$C$6:$ND$6,MATCH(A19,'[1]01-数据'!$C$1:$ND$1))," ")</f>
        <v>11832.41</v>
      </c>
      <c r="F19" s="14">
        <f>IF(A19&lt;&gt;"",INDEX('[1]01-数据'!$C$7:$ND$7,MATCH(A19,'[1]01-数据'!$C$1:$ND$1))," ")</f>
        <v>0.0068</v>
      </c>
      <c r="G19" s="8">
        <f>IF(A19&lt;&gt;"",INDEX('[1]01-数据'!$C$11:$ND$11,MATCH(A19,'[1]01-数据'!$C$1:$ND$1))," ")</f>
        <v>11.14</v>
      </c>
      <c r="H19" s="8">
        <f>IF(A19&lt;&gt;"",INDEX('[1]01-数据'!$C$14:$ND$14,MATCH(A19,'[1]01-数据'!$C$1:$ND$1))," ")</f>
        <v>8.8</v>
      </c>
    </row>
    <row r="20" spans="1:8">
      <c r="A20" s="28">
        <v>45339</v>
      </c>
      <c r="B20" s="11">
        <f>IF(A20&lt;&gt;"",INDEX('[1]01-数据'!$C$2:$ND$2,MATCH(A20,'[1]01-数据'!$C$1:$ND$1))," ")</f>
        <v>265.46</v>
      </c>
      <c r="C20" s="11">
        <f>IF(A20&lt;&gt;"",INDEX('[1]01-数据'!$C$3:$ND$3,MATCH(A20,'[1]01-数据'!$C$1:$ND$1))," ")</f>
        <v>4193.29</v>
      </c>
      <c r="D20" s="12">
        <f>IF(A20&lt;&gt;"",INDEX('[1]01-数据'!$C$4:$ND$4,MATCH(A20,'[1]01-数据'!$C$1:$ND$1))," ")</f>
        <v>0.1594</v>
      </c>
      <c r="E20" s="11">
        <f>IF(A20&lt;&gt;"",INDEX('[1]01-数据'!$C$6:$ND$6,MATCH(A20,'[1]01-数据'!$C$1:$ND$1))," ")</f>
        <v>12097.87</v>
      </c>
      <c r="F20" s="15">
        <f>IF(A20&lt;&gt;"",INDEX('[1]01-数据'!$C$7:$ND$7,MATCH(A20,'[1]01-数据'!$C$1:$ND$1))," ")</f>
        <v>0.0123</v>
      </c>
      <c r="G20" s="11">
        <f>IF(A20&lt;&gt;"",INDEX('[1]01-数据'!$C$11:$ND$11,MATCH(A20,'[1]01-数据'!$C$1:$ND$1))," ")</f>
        <v>11.8</v>
      </c>
      <c r="H20" s="11">
        <f>IF(A20&lt;&gt;"",INDEX('[1]01-数据'!$C$14:$ND$14,MATCH(A20,'[1]01-数据'!$C$1:$ND$1))," ")</f>
        <v>8.76</v>
      </c>
    </row>
    <row r="21" spans="1:8">
      <c r="A21" s="28">
        <v>45340</v>
      </c>
      <c r="B21" s="11">
        <f>IF(A21&lt;&gt;"",INDEX('[1]01-数据'!$C$2:$ND$2,MATCH(A21,'[1]01-数据'!$C$1:$ND$1))," ")</f>
        <v>268.34</v>
      </c>
      <c r="C21" s="11">
        <f>IF(A21&lt;&gt;"",INDEX('[1]01-数据'!$C$3:$ND$3,MATCH(A21,'[1]01-数据'!$C$1:$ND$1))," ")</f>
        <v>4461.64</v>
      </c>
      <c r="D21" s="12">
        <f>IF(A21&lt;&gt;"",INDEX('[1]01-数据'!$C$4:$ND$4,MATCH(A21,'[1]01-数据'!$C$1:$ND$1))," ")</f>
        <v>0.167</v>
      </c>
      <c r="E21" s="11">
        <f>IF(A21&lt;&gt;"",INDEX('[1]01-数据'!$C$6:$ND$6,MATCH(A21,'[1]01-数据'!$C$1:$ND$1))," ")</f>
        <v>12366.21</v>
      </c>
      <c r="F21" s="15">
        <f>IF(A21&lt;&gt;"",INDEX('[1]01-数据'!$C$7:$ND$7,MATCH(A21,'[1]01-数据'!$C$1:$ND$1))," ")</f>
        <v>0.0172</v>
      </c>
      <c r="G21" s="11">
        <f>IF(A21&lt;&gt;"",INDEX('[1]01-数据'!$C$11:$ND$11,MATCH(A21,'[1]01-数据'!$C$1:$ND$1))," ")</f>
        <v>11.85</v>
      </c>
      <c r="H21" s="11">
        <f>IF(A21&lt;&gt;"",INDEX('[1]01-数据'!$C$14:$ND$14,MATCH(A21,'[1]01-数据'!$C$1:$ND$1))," ")</f>
        <v>9.08</v>
      </c>
    </row>
    <row r="22" spans="1:8">
      <c r="A22" s="28">
        <v>45341</v>
      </c>
      <c r="B22" s="11">
        <f>IF(A22&lt;&gt;"",INDEX('[1]01-数据'!$C$2:$ND$2,MATCH(A22,'[1]01-数据'!$C$1:$ND$1))," ")</f>
        <v>270.65</v>
      </c>
      <c r="C22" s="11">
        <f>IF(A22&lt;&gt;"",INDEX('[1]01-数据'!$C$3:$ND$3,MATCH(A22,'[1]01-数据'!$C$1:$ND$1))," ")</f>
        <v>4732.29</v>
      </c>
      <c r="D22" s="12">
        <f>IF(A22&lt;&gt;"",INDEX('[1]01-数据'!$C$4:$ND$4,MATCH(A22,'[1]01-数据'!$C$1:$ND$1))," ")</f>
        <v>0.1708</v>
      </c>
      <c r="E22" s="11">
        <f>IF(A22&lt;&gt;"",INDEX('[1]01-数据'!$C$6:$ND$6,MATCH(A22,'[1]01-数据'!$C$1:$ND$1))," ")</f>
        <v>12636.87</v>
      </c>
      <c r="F22" s="15">
        <f>IF(A22&lt;&gt;"",INDEX('[1]01-数据'!$C$7:$ND$7,MATCH(A22,'[1]01-数据'!$C$1:$ND$1))," ")</f>
        <v>0.0211</v>
      </c>
      <c r="G22" s="11">
        <f>IF(A22&lt;&gt;"",INDEX('[1]01-数据'!$C$11:$ND$11,MATCH(A22,'[1]01-数据'!$C$1:$ND$1))," ")</f>
        <v>11.97</v>
      </c>
      <c r="H22" s="11">
        <f>IF(A22&lt;&gt;"",INDEX('[1]01-数据'!$C$14:$ND$14,MATCH(A22,'[1]01-数据'!$C$1:$ND$1))," ")</f>
        <v>9.14</v>
      </c>
    </row>
    <row r="23" spans="1:8">
      <c r="A23" s="28">
        <v>45342</v>
      </c>
      <c r="B23" s="11">
        <f>IF(A23&lt;&gt;"",INDEX('[1]01-数据'!$C$2:$ND$2,MATCH(A23,'[1]01-数据'!$C$1:$ND$1))," ")</f>
        <v>274.18</v>
      </c>
      <c r="C23" s="11">
        <f>IF(A23&lt;&gt;"",INDEX('[1]01-数据'!$C$3:$ND$3,MATCH(A23,'[1]01-数据'!$C$1:$ND$1))," ")</f>
        <v>5006.47</v>
      </c>
      <c r="D23" s="12">
        <f>IF(A23&lt;&gt;"",INDEX('[1]01-数据'!$C$4:$ND$4,MATCH(A23,'[1]01-数据'!$C$1:$ND$1))," ")</f>
        <v>0.1711</v>
      </c>
      <c r="E23" s="11">
        <f>IF(A23&lt;&gt;"",INDEX('[1]01-数据'!$C$6:$ND$6,MATCH(A23,'[1]01-数据'!$C$1:$ND$1))," ")</f>
        <v>12911.05</v>
      </c>
      <c r="F23" s="15">
        <f>IF(A23&lt;&gt;"",INDEX('[1]01-数据'!$C$7:$ND$7,MATCH(A23,'[1]01-数据'!$C$1:$ND$1))," ")</f>
        <v>0.0239</v>
      </c>
      <c r="G23" s="11">
        <f>IF(A23&lt;&gt;"",INDEX('[1]01-数据'!$C$11:$ND$11,MATCH(A23,'[1]01-数据'!$C$1:$ND$1))," ")</f>
        <v>12.23</v>
      </c>
      <c r="H23" s="11">
        <f>IF(A23&lt;&gt;"",INDEX('[1]01-数据'!$C$14:$ND$14,MATCH(A23,'[1]01-数据'!$C$1:$ND$1))," ")</f>
        <v>9.22</v>
      </c>
    </row>
    <row r="24" spans="1:8">
      <c r="A24" s="28">
        <v>45343</v>
      </c>
      <c r="B24" s="11">
        <f>IF(A24&lt;&gt;"",INDEX('[1]01-数据'!$C$2:$ND$2,MATCH(A24,'[1]01-数据'!$C$1:$ND$1))," ")</f>
        <v>276.95</v>
      </c>
      <c r="C24" s="11">
        <f>IF(A24&lt;&gt;"",INDEX('[1]01-数据'!$C$3:$ND$3,MATCH(A24,'[1]01-数据'!$C$1:$ND$1))," ")</f>
        <v>5283.42</v>
      </c>
      <c r="D24" s="12">
        <f>IF(A24&lt;&gt;"",INDEX('[1]01-数据'!$C$4:$ND$4,MATCH(A24,'[1]01-数据'!$C$1:$ND$1))," ")</f>
        <v>0.1688</v>
      </c>
      <c r="E24" s="11">
        <f>IF(A24&lt;&gt;"",INDEX('[1]01-数据'!$C$6:$ND$6,MATCH(A24,'[1]01-数据'!$C$1:$ND$1))," ")</f>
        <v>13187.99</v>
      </c>
      <c r="F24" s="15">
        <f>IF(A24&lt;&gt;"",INDEX('[1]01-数据'!$C$7:$ND$7,MATCH(A24,'[1]01-数据'!$C$1:$ND$1))," ")</f>
        <v>0.0259</v>
      </c>
      <c r="G24" s="11">
        <f>IF(A24&lt;&gt;"",INDEX('[1]01-数据'!$C$11:$ND$11,MATCH(A24,'[1]01-数据'!$C$1:$ND$1))," ")</f>
        <v>12.35</v>
      </c>
      <c r="H24" s="11">
        <f>IF(A24&lt;&gt;"",INDEX('[1]01-数据'!$C$14:$ND$14,MATCH(A24,'[1]01-数据'!$C$1:$ND$1))," ")</f>
        <v>9.33</v>
      </c>
    </row>
    <row r="25" spans="1:8">
      <c r="A25" s="27">
        <v>45344</v>
      </c>
      <c r="B25" s="8">
        <f>IF(A25&lt;&gt;"",INDEX('[1]01-数据'!$C$2:$ND$2,MATCH(A25,'[1]01-数据'!$C$1:$ND$1))," ")</f>
        <v>276.11</v>
      </c>
      <c r="C25" s="8">
        <f>IF(A25&lt;&gt;"",INDEX('[1]01-数据'!$C$3:$ND$3,MATCH(A25,'[1]01-数据'!$C$1:$ND$1))," ")</f>
        <v>5559.52</v>
      </c>
      <c r="D25" s="9">
        <f>IF(A25&lt;&gt;"",INDEX('[1]01-数据'!$C$4:$ND$4,MATCH(A25,'[1]01-数据'!$C$1:$ND$1))," ")</f>
        <v>0.1641</v>
      </c>
      <c r="E25" s="8">
        <f>IF(A25&lt;&gt;"",INDEX('[1]01-数据'!$C$6:$ND$6,MATCH(A25,'[1]01-数据'!$C$1:$ND$1))," ")</f>
        <v>13464.1</v>
      </c>
      <c r="F25" s="14">
        <f>IF(A25&lt;&gt;"",INDEX('[1]01-数据'!$C$7:$ND$7,MATCH(A25,'[1]01-数据'!$C$1:$ND$1))," ")</f>
        <v>0.027</v>
      </c>
      <c r="G25" s="8">
        <f>IF(A25&lt;&gt;"",INDEX('[1]01-数据'!$C$11:$ND$11,MATCH(A25,'[1]01-数据'!$C$1:$ND$1))," ")</f>
        <v>12.22</v>
      </c>
      <c r="H25" s="8">
        <f>IF(A25&lt;&gt;"",INDEX('[1]01-数据'!$C$14:$ND$14,MATCH(A25,'[1]01-数据'!$C$1:$ND$1))," ")</f>
        <v>9.38</v>
      </c>
    </row>
    <row r="26" spans="1:8">
      <c r="A26" s="27">
        <v>45345</v>
      </c>
      <c r="B26" s="8">
        <f>IF(A26&lt;&gt;"",INDEX('[1]01-数据'!$C$2:$ND$2,MATCH(A26,'[1]01-数据'!$C$1:$ND$1))," ")</f>
        <v>271.02</v>
      </c>
      <c r="C26" s="8">
        <f>IF(A26&lt;&gt;"",INDEX('[1]01-数据'!$C$3:$ND$3,MATCH(A26,'[1]01-数据'!$C$1:$ND$1))," ")</f>
        <v>5830.55</v>
      </c>
      <c r="D26" s="9">
        <f>IF(A26&lt;&gt;"",INDEX('[1]01-数据'!$C$4:$ND$4,MATCH(A26,'[1]01-数据'!$C$1:$ND$1))," ")</f>
        <v>0.1576</v>
      </c>
      <c r="E26" s="8">
        <f>IF(A26&lt;&gt;"",INDEX('[1]01-数据'!$C$6:$ND$6,MATCH(A26,'[1]01-数据'!$C$1:$ND$1))," ")</f>
        <v>13735.13</v>
      </c>
      <c r="F26" s="14">
        <f>IF(A26&lt;&gt;"",INDEX('[1]01-数据'!$C$7:$ND$7,MATCH(A26,'[1]01-数据'!$C$1:$ND$1))," ")</f>
        <v>0.0272</v>
      </c>
      <c r="G26" s="8">
        <f>IF(A26&lt;&gt;"",INDEX('[1]01-数据'!$C$11:$ND$11,MATCH(A26,'[1]01-数据'!$C$1:$ND$1))," ")</f>
        <v>11.91</v>
      </c>
      <c r="H26" s="8">
        <f>IF(A26&lt;&gt;"",INDEX('[1]01-数据'!$C$14:$ND$14,MATCH(A26,'[1]01-数据'!$C$1:$ND$1))," ")</f>
        <v>9.34</v>
      </c>
    </row>
    <row r="27" spans="1:8">
      <c r="A27" s="28">
        <v>45346</v>
      </c>
      <c r="B27" s="11">
        <f>IF(A27&lt;&gt;"",INDEX('[1]01-数据'!$C$2:$ND$2,MATCH(A27,'[1]01-数据'!$C$1:$ND$1))," ")</f>
        <v>276.77</v>
      </c>
      <c r="C27" s="11">
        <f>IF(A27&lt;&gt;"",INDEX('[1]01-数据'!$C$3:$ND$3,MATCH(A27,'[1]01-数据'!$C$1:$ND$1))," ")</f>
        <v>6107.31</v>
      </c>
      <c r="D27" s="12">
        <f>IF(A27&lt;&gt;"",INDEX('[1]01-数据'!$C$4:$ND$4,MATCH(A27,'[1]01-数据'!$C$1:$ND$1))," ")</f>
        <v>0.1541</v>
      </c>
      <c r="E27" s="11">
        <f>IF(A27&lt;&gt;"",INDEX('[1]01-数据'!$C$6:$ND$6,MATCH(A27,'[1]01-数据'!$C$1:$ND$1))," ")</f>
        <v>14011.89</v>
      </c>
      <c r="F27" s="15">
        <f>IF(A27&lt;&gt;"",INDEX('[1]01-数据'!$C$7:$ND$7,MATCH(A27,'[1]01-数据'!$C$1:$ND$1))," ")</f>
        <v>0.0283</v>
      </c>
      <c r="G27" s="11">
        <f>IF(A27&lt;&gt;"",INDEX('[1]01-数据'!$C$11:$ND$11,MATCH(A27,'[1]01-数据'!$C$1:$ND$1))," ")</f>
        <v>12.27</v>
      </c>
      <c r="H27" s="11">
        <f>IF(A27&lt;&gt;"",INDEX('[1]01-数据'!$C$14:$ND$14,MATCH(A27,'[1]01-数据'!$C$1:$ND$1))," ")</f>
        <v>9.27</v>
      </c>
    </row>
    <row r="28" spans="1:8">
      <c r="A28" s="28">
        <v>45347</v>
      </c>
      <c r="B28" s="11">
        <f>IF(A28&lt;&gt;"",INDEX('[1]01-数据'!$C$2:$ND$2,MATCH(A28,'[1]01-数据'!$C$1:$ND$1))," ")</f>
        <v>275.81</v>
      </c>
      <c r="C28" s="11">
        <f>IF(A28&lt;&gt;"",INDEX('[1]01-数据'!$C$3:$ND$3,MATCH(A28,'[1]01-数据'!$C$1:$ND$1))," ")</f>
        <v>6383.12</v>
      </c>
      <c r="D28" s="12">
        <f>IF(A28&lt;&gt;"",INDEX('[1]01-数据'!$C$4:$ND$4,MATCH(A28,'[1]01-数据'!$C$1:$ND$1))," ")</f>
        <v>0.151</v>
      </c>
      <c r="E28" s="11">
        <f>IF(A28&lt;&gt;"",INDEX('[1]01-数据'!$C$6:$ND$6,MATCH(A28,'[1]01-数据'!$C$1:$ND$1))," ")</f>
        <v>14287.7</v>
      </c>
      <c r="F28" s="15">
        <f>IF(A28&lt;&gt;"",INDEX('[1]01-数据'!$C$7:$ND$7,MATCH(A28,'[1]01-数据'!$C$1:$ND$1))," ")</f>
        <v>0.0294</v>
      </c>
      <c r="G28" s="11">
        <f>IF(A28&lt;&gt;"",INDEX('[1]01-数据'!$C$11:$ND$11,MATCH(A28,'[1]01-数据'!$C$1:$ND$1))," ")</f>
        <v>12.23</v>
      </c>
      <c r="H28" s="11">
        <f>IF(A28&lt;&gt;"",INDEX('[1]01-数据'!$C$14:$ND$14,MATCH(A28,'[1]01-数据'!$C$1:$ND$1))," ")</f>
        <v>9.37</v>
      </c>
    </row>
    <row r="29" spans="1:8">
      <c r="A29" s="28">
        <v>45348</v>
      </c>
      <c r="B29" s="11">
        <f>IF(A29&lt;&gt;"",INDEX('[1]01-数据'!$C$2:$ND$2,MATCH(A29,'[1]01-数据'!$C$1:$ND$1))," ")</f>
        <v>270.88</v>
      </c>
      <c r="C29" s="11">
        <f>IF(A29&lt;&gt;"",INDEX('[1]01-数据'!$C$3:$ND$3,MATCH(A29,'[1]01-数据'!$C$1:$ND$1))," ")</f>
        <v>6654.01</v>
      </c>
      <c r="D29" s="12">
        <f>IF(A29&lt;&gt;"",INDEX('[1]01-数据'!$C$4:$ND$4,MATCH(A29,'[1]01-数据'!$C$1:$ND$1))," ")</f>
        <v>0.1457</v>
      </c>
      <c r="E29" s="11">
        <f>IF(A29&lt;&gt;"",INDEX('[1]01-数据'!$C$6:$ND$6,MATCH(A29,'[1]01-数据'!$C$1:$ND$1))," ")</f>
        <v>14558.59</v>
      </c>
      <c r="F29" s="15">
        <f>IF(A29&lt;&gt;"",INDEX('[1]01-数据'!$C$7:$ND$7,MATCH(A29,'[1]01-数据'!$C$1:$ND$1))," ")</f>
        <v>0.0295</v>
      </c>
      <c r="G29" s="11">
        <f>IF(A29&lt;&gt;"",INDEX('[1]01-数据'!$C$11:$ND$11,MATCH(A29,'[1]01-数据'!$C$1:$ND$1))," ")</f>
        <v>11.91</v>
      </c>
      <c r="H29" s="11">
        <f>IF(A29&lt;&gt;"",INDEX('[1]01-数据'!$C$14:$ND$14,MATCH(A29,'[1]01-数据'!$C$1:$ND$1))," ")</f>
        <v>9.36</v>
      </c>
    </row>
    <row r="30" spans="1:8">
      <c r="A30" s="28">
        <v>45349</v>
      </c>
      <c r="B30" s="11">
        <f>IF(A30&lt;&gt;"",INDEX('[1]01-数据'!$C$2:$ND$2,MATCH(A30,'[1]01-数据'!$C$1:$ND$1))," ")</f>
        <v>266.81</v>
      </c>
      <c r="C30" s="11">
        <f>IF(A30&lt;&gt;"",INDEX('[1]01-数据'!$C$3:$ND$3,MATCH(A30,'[1]01-数据'!$C$1:$ND$1))," ")</f>
        <v>6920.82</v>
      </c>
      <c r="D30" s="12">
        <f>IF(A30&lt;&gt;"",INDEX('[1]01-数据'!$C$4:$ND$4,MATCH(A30,'[1]01-数据'!$C$1:$ND$1))," ")</f>
        <v>0.1403</v>
      </c>
      <c r="E30" s="11">
        <f>IF(A30&lt;&gt;"",INDEX('[1]01-数据'!$C$6:$ND$6,MATCH(A30,'[1]01-数据'!$C$1:$ND$1))," ")</f>
        <v>14825.4</v>
      </c>
      <c r="F30" s="15">
        <f>IF(A30&lt;&gt;"",INDEX('[1]01-数据'!$C$7:$ND$7,MATCH(A30,'[1]01-数据'!$C$1:$ND$1))," ")</f>
        <v>0.0293</v>
      </c>
      <c r="G30" s="11">
        <f>IF(A30&lt;&gt;"",INDEX('[1]01-数据'!$C$11:$ND$11,MATCH(A30,'[1]01-数据'!$C$1:$ND$1))," ")</f>
        <v>11.73</v>
      </c>
      <c r="H30" s="11">
        <f>IF(A30&lt;&gt;"",INDEX('[1]01-数据'!$C$14:$ND$14,MATCH(A30,'[1]01-数据'!$C$1:$ND$1))," ")</f>
        <v>9.2</v>
      </c>
    </row>
    <row r="31" spans="1:8">
      <c r="A31" s="28">
        <v>45350</v>
      </c>
      <c r="B31" s="11">
        <f>IF(A31&lt;&gt;"",INDEX('[1]01-数据'!$C$2:$ND$2,MATCH(A31,'[1]01-数据'!$C$1:$ND$1))," ")</f>
        <v>260</v>
      </c>
      <c r="C31" s="11">
        <f>IF(A31&lt;&gt;"",INDEX('[1]01-数据'!$C$3:$ND$3,MATCH(A31,'[1]01-数据'!$C$1:$ND$1))," ")</f>
        <v>7180.82</v>
      </c>
      <c r="D31" s="12">
        <f>IF(A31&lt;&gt;"",INDEX('[1]01-数据'!$C$4:$ND$4,MATCH(A31,'[1]01-数据'!$C$1:$ND$1))," ")</f>
        <v>0.1339</v>
      </c>
      <c r="E31" s="11">
        <f>IF(A31&lt;&gt;"",INDEX('[1]01-数据'!$C$6:$ND$6,MATCH(A31,'[1]01-数据'!$C$1:$ND$1))," ")</f>
        <v>15085.4</v>
      </c>
      <c r="F31" s="15">
        <f>IF(A31&lt;&gt;"",INDEX('[1]01-数据'!$C$7:$ND$7,MATCH(A31,'[1]01-数据'!$C$1:$ND$1))," ")</f>
        <v>0.0285</v>
      </c>
      <c r="G31" s="11">
        <f>IF(A31&lt;&gt;"",INDEX('[1]01-数据'!$C$11:$ND$11,MATCH(A31,'[1]01-数据'!$C$1:$ND$1))," ")</f>
        <v>11.38</v>
      </c>
      <c r="H31" s="11">
        <f>IF(A31&lt;&gt;"",INDEX('[1]01-数据'!$C$14:$ND$14,MATCH(A31,'[1]01-数据'!$C$1:$ND$1))," ")</f>
        <v>9.05</v>
      </c>
    </row>
    <row r="32" spans="1:8">
      <c r="A32" s="13" t="s">
        <v>9</v>
      </c>
      <c r="B32" s="13"/>
      <c r="C32" s="13"/>
      <c r="D32" s="13"/>
      <c r="E32" s="13"/>
      <c r="F32" s="13"/>
      <c r="G32" s="16"/>
      <c r="H32" s="16"/>
    </row>
    <row r="35" spans="3:6">
      <c r="C35" t="s">
        <v>11</v>
      </c>
      <c r="D35" s="37" t="e">
        <f>#REF!/6719.74-1</f>
        <v>#REF!</v>
      </c>
      <c r="E35">
        <f>C31/(1+D31)</f>
        <v>6332.8512214481</v>
      </c>
      <c r="F35">
        <f>E35/28</f>
        <v>226.173257908861</v>
      </c>
    </row>
    <row r="36" spans="3:6">
      <c r="C36" t="s">
        <v>12</v>
      </c>
      <c r="D36" s="37">
        <v>0.1166</v>
      </c>
      <c r="E36" t="e">
        <f>#REF!/(1+#REF!)</f>
        <v>#REF!</v>
      </c>
      <c r="F36" t="e">
        <f>#REF!/29</f>
        <v>#REF!</v>
      </c>
    </row>
    <row r="37" spans="6:6">
      <c r="F37" t="e">
        <f>F36/F35-1</f>
        <v>#REF!</v>
      </c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17" workbookViewId="0">
      <selection activeCell="A35" sqref="A35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1" t="s">
        <v>13</v>
      </c>
      <c r="B1" s="31"/>
      <c r="C1" s="31"/>
      <c r="D1" s="31"/>
      <c r="E1" s="31"/>
      <c r="F1" s="31"/>
      <c r="G1" s="31"/>
      <c r="H1" s="31"/>
    </row>
    <row r="2" spans="1:8">
      <c r="A2" s="32" t="s">
        <v>1</v>
      </c>
      <c r="B2" s="32"/>
      <c r="C2" s="32"/>
      <c r="D2" s="32"/>
      <c r="E2" s="32"/>
      <c r="F2" s="32"/>
      <c r="G2" s="32"/>
      <c r="H2" s="32"/>
    </row>
    <row r="3" spans="1:8">
      <c r="A3" s="33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4" t="s">
        <v>5</v>
      </c>
      <c r="G3" s="33" t="s">
        <v>7</v>
      </c>
      <c r="H3" s="33" t="s">
        <v>8</v>
      </c>
    </row>
    <row r="4" spans="1:8">
      <c r="A4" s="27">
        <v>45352</v>
      </c>
      <c r="B4" s="8">
        <f>IF(A4&lt;&gt;"",INDEX('[1]01-数据'!$C$2:$ND$2,MATCH(A4,'[1]01-数据'!$C$1:$ND$1))," ")</f>
        <v>252.21</v>
      </c>
      <c r="C4" s="8">
        <f>IF(A4&lt;&gt;"",INDEX('[1]01-数据'!$C$3:$ND$3,MATCH(A4,'[1]01-数据'!$C$1:$ND$1))," ")</f>
        <v>252.21</v>
      </c>
      <c r="D4" s="9">
        <f>IF(A4&lt;&gt;"",INDEX('[1]01-数据'!$C$4:$ND$4,MATCH(A4,'[1]01-数据'!$C$1:$ND$1))," ")</f>
        <v>-0.0561</v>
      </c>
      <c r="E4" s="8">
        <f>IF(A4&lt;&gt;"",INDEX('[1]01-数据'!$C$6:$ND$6,MATCH(A4,'[1]01-数据'!$C$1:$ND$1))," ")</f>
        <v>15337.61</v>
      </c>
      <c r="F4" s="14">
        <f>IF(A4&lt;&gt;"",INDEX('[1]01-数据'!$C$7:$ND$7,MATCH(A4,'[1]01-数据'!$C$1:$ND$1))," ")</f>
        <v>0.0091</v>
      </c>
      <c r="G4" s="8">
        <f>IF(A4&lt;&gt;"",INDEX('[1]01-数据'!$C$11:$ND$11,MATCH(A4,'[1]01-数据'!$C$1:$ND$1))," ")</f>
        <v>11.03</v>
      </c>
      <c r="H4" s="8">
        <f>IF(A4&lt;&gt;"",INDEX('[1]01-数据'!$C$14:$ND$14,MATCH(A4,'[1]01-数据'!$C$1:$ND$1))," ")</f>
        <v>8.84</v>
      </c>
    </row>
    <row r="5" spans="1:8">
      <c r="A5" s="27">
        <v>45353</v>
      </c>
      <c r="B5" s="8">
        <f>IF(A5&lt;&gt;"",INDEX('[1]01-数据'!$C$2:$ND$2,MATCH(A5,'[1]01-数据'!$C$1:$ND$1))," ")</f>
        <v>250.61</v>
      </c>
      <c r="C5" s="8">
        <f>IF(A5&lt;&gt;"",INDEX('[1]01-数据'!$C$3:$ND$3,MATCH(A5,'[1]01-数据'!$C$1:$ND$1))," ")</f>
        <v>502.83</v>
      </c>
      <c r="D5" s="9">
        <f>IF(A5&lt;&gt;"",INDEX('[1]01-数据'!$C$4:$ND$4,MATCH(A5,'[1]01-数据'!$C$1:$ND$1))," ")</f>
        <v>-0.0459</v>
      </c>
      <c r="E5" s="8">
        <f>IF(A5&lt;&gt;"",INDEX('[1]01-数据'!$C$6:$ND$6,MATCH(A5,'[1]01-数据'!$C$1:$ND$1))," ")</f>
        <v>15588.23</v>
      </c>
      <c r="F5" s="14">
        <f>IF(A5&lt;&gt;"",INDEX('[1]01-数据'!$C$7:$ND$7,MATCH(A5,'[1]01-数据'!$C$1:$ND$1))," ")</f>
        <v>0.0083</v>
      </c>
      <c r="G5" s="8">
        <f>IF(A5&lt;&gt;"",INDEX('[1]01-数据'!$C$11:$ND$11,MATCH(A5,'[1]01-数据'!$C$1:$ND$1))," ")</f>
        <v>10.95</v>
      </c>
      <c r="H5" s="8">
        <f>IF(A5&lt;&gt;"",INDEX('[1]01-数据'!$C$14:$ND$14,MATCH(A5,'[1]01-数据'!$C$1:$ND$1))," ")</f>
        <v>8.72</v>
      </c>
    </row>
    <row r="6" spans="1:8">
      <c r="A6" s="28">
        <v>45354</v>
      </c>
      <c r="B6" s="11">
        <f>IF(A6&lt;&gt;"",INDEX('[1]01-数据'!$C$2:$ND$2,MATCH(A6,'[1]01-数据'!$C$1:$ND$1))," ")</f>
        <v>265.3</v>
      </c>
      <c r="C6" s="11">
        <f>IF(A6&lt;&gt;"",INDEX('[1]01-数据'!$C$3:$ND$3,MATCH(A6,'[1]01-数据'!$C$1:$ND$1))," ")</f>
        <v>768.13</v>
      </c>
      <c r="D6" s="12">
        <f>IF(A6&lt;&gt;"",INDEX('[1]01-数据'!$C$4:$ND$4,MATCH(A6,'[1]01-数据'!$C$1:$ND$1))," ")</f>
        <v>-0.0135</v>
      </c>
      <c r="E6" s="11">
        <f>IF(A6&lt;&gt;"",INDEX('[1]01-数据'!$C$6:$ND$6,MATCH(A6,'[1]01-数据'!$C$1:$ND$1))," ")</f>
        <v>15853.53</v>
      </c>
      <c r="F6" s="15">
        <f>IF(A6&lt;&gt;"",INDEX('[1]01-数据'!$C$7:$ND$7,MATCH(A6,'[1]01-数据'!$C$1:$ND$1))," ")</f>
        <v>0.009</v>
      </c>
      <c r="G6" s="11">
        <f>IF(A6&lt;&gt;"",INDEX('[1]01-数据'!$C$11:$ND$11,MATCH(A6,'[1]01-数据'!$C$1:$ND$1))," ")</f>
        <v>11.92</v>
      </c>
      <c r="H6" s="11">
        <f>IF(A6&lt;&gt;"",INDEX('[1]01-数据'!$C$14:$ND$14,MATCH(A6,'[1]01-数据'!$C$1:$ND$1))," ")</f>
        <v>8.81</v>
      </c>
    </row>
    <row r="7" spans="1:8">
      <c r="A7" s="28">
        <v>45355</v>
      </c>
      <c r="B7" s="11">
        <f>IF(A7&lt;&gt;"",INDEX('[1]01-数据'!$C$2:$ND$2,MATCH(A7,'[1]01-数据'!$C$1:$ND$1))," ")</f>
        <v>272.21</v>
      </c>
      <c r="C7" s="11">
        <f>IF(A7&lt;&gt;"",INDEX('[1]01-数据'!$C$3:$ND$3,MATCH(A7,'[1]01-数据'!$C$1:$ND$1))," ")</f>
        <v>1040.34</v>
      </c>
      <c r="D7" s="12">
        <f>IF(A7&lt;&gt;"",INDEX('[1]01-数据'!$C$4:$ND$4,MATCH(A7,'[1]01-数据'!$C$1:$ND$1))," ")</f>
        <v>0.0028</v>
      </c>
      <c r="E7" s="11">
        <f>IF(A7&lt;&gt;"",INDEX('[1]01-数据'!$C$6:$ND$6,MATCH(A7,'[1]01-数据'!$C$1:$ND$1))," ")</f>
        <v>16125.74</v>
      </c>
      <c r="F7" s="15">
        <f>IF(A7&lt;&gt;"",INDEX('[1]01-数据'!$C$7:$ND$7,MATCH(A7,'[1]01-数据'!$C$1:$ND$1))," ")</f>
        <v>0.0097</v>
      </c>
      <c r="G7" s="11">
        <f>IF(A7&lt;&gt;"",INDEX('[1]01-数据'!$C$11:$ND$11,MATCH(A7,'[1]01-数据'!$C$1:$ND$1))," ")</f>
        <v>12.22</v>
      </c>
      <c r="H7" s="11">
        <f>IF(A7&lt;&gt;"",INDEX('[1]01-数据'!$C$14:$ND$14,MATCH(A7,'[1]01-数据'!$C$1:$ND$1))," ")</f>
        <v>9.23</v>
      </c>
    </row>
    <row r="8" spans="1:8">
      <c r="A8" s="28">
        <v>45356</v>
      </c>
      <c r="B8" s="11">
        <f>IF(A8&lt;&gt;"",INDEX('[1]01-数据'!$C$2:$ND$2,MATCH(A8,'[1]01-数据'!$C$1:$ND$1))," ")</f>
        <v>273.17</v>
      </c>
      <c r="C8" s="11">
        <f>IF(A8&lt;&gt;"",INDEX('[1]01-数据'!$C$3:$ND$3,MATCH(A8,'[1]01-数据'!$C$1:$ND$1))," ")</f>
        <v>1313.51</v>
      </c>
      <c r="D8" s="12">
        <f>IF(A8&lt;&gt;"",INDEX('[1]01-数据'!$C$4:$ND$4,MATCH(A8,'[1]01-数据'!$C$1:$ND$1))," ")</f>
        <v>0.0115</v>
      </c>
      <c r="E8" s="11">
        <f>IF(A8&lt;&gt;"",INDEX('[1]01-数据'!$C$6:$ND$6,MATCH(A8,'[1]01-数据'!$C$1:$ND$1))," ")</f>
        <v>16398.91</v>
      </c>
      <c r="F8" s="15">
        <f>IF(A8&lt;&gt;"",INDEX('[1]01-数据'!$C$7:$ND$7,MATCH(A8,'[1]01-数据'!$C$1:$ND$1))," ")</f>
        <v>0.0103</v>
      </c>
      <c r="G8" s="11">
        <f>IF(A8&lt;&gt;"",INDEX('[1]01-数据'!$C$11:$ND$11,MATCH(A8,'[1]01-数据'!$C$1:$ND$1))," ")</f>
        <v>12.18</v>
      </c>
      <c r="H8" s="11">
        <f>IF(A8&lt;&gt;"",INDEX('[1]01-数据'!$C$14:$ND$14,MATCH(A8,'[1]01-数据'!$C$1:$ND$1))," ")</f>
        <v>9.3</v>
      </c>
    </row>
    <row r="9" spans="1:8">
      <c r="A9" s="28">
        <v>45357</v>
      </c>
      <c r="B9" s="11">
        <f>IF(A9&lt;&gt;"",INDEX('[1]01-数据'!$C$2:$ND$2,MATCH(A9,'[1]01-数据'!$C$1:$ND$1))," ")</f>
        <v>269.77</v>
      </c>
      <c r="C9" s="11">
        <f>IF(A9&lt;&gt;"",INDEX('[1]01-数据'!$C$3:$ND$3,MATCH(A9,'[1]01-数据'!$C$1:$ND$1))," ")</f>
        <v>1583.28</v>
      </c>
      <c r="D9" s="12">
        <f>IF(A9&lt;&gt;"",INDEX('[1]01-数据'!$C$4:$ND$4,MATCH(A9,'[1]01-数据'!$C$1:$ND$1))," ")</f>
        <v>0.0159</v>
      </c>
      <c r="E9" s="11">
        <f>IF(A9&lt;&gt;"",INDEX('[1]01-数据'!$C$6:$ND$6,MATCH(A9,'[1]01-数据'!$C$1:$ND$1))," ")</f>
        <v>16668.68</v>
      </c>
      <c r="F9" s="15">
        <f>IF(A9&lt;&gt;"",INDEX('[1]01-数据'!$C$7:$ND$7,MATCH(A9,'[1]01-数据'!$C$1:$ND$1))," ")</f>
        <v>0.0108</v>
      </c>
      <c r="G9" s="11">
        <f>IF(A9&lt;&gt;"",INDEX('[1]01-数据'!$C$11:$ND$11,MATCH(A9,'[1]01-数据'!$C$1:$ND$1))," ")</f>
        <v>11.91</v>
      </c>
      <c r="H9" s="11">
        <f>IF(A9&lt;&gt;"",INDEX('[1]01-数据'!$C$14:$ND$14,MATCH(A9,'[1]01-数据'!$C$1:$ND$1))," ")</f>
        <v>9.27</v>
      </c>
    </row>
    <row r="10" spans="1:8">
      <c r="A10" s="28">
        <v>45358</v>
      </c>
      <c r="B10" s="11">
        <f>IF(A10&lt;&gt;"",INDEX('[1]01-数据'!$C$2:$ND$2,MATCH(A10,'[1]01-数据'!$C$1:$ND$1))," ")</f>
        <v>270.72</v>
      </c>
      <c r="C10" s="11">
        <f>IF(A10&lt;&gt;"",INDEX('[1]01-数据'!$C$3:$ND$3,MATCH(A10,'[1]01-数据'!$C$1:$ND$1))," ")</f>
        <v>1854</v>
      </c>
      <c r="D10" s="12">
        <f>IF(A10&lt;&gt;"",INDEX('[1]01-数据'!$C$4:$ND$4,MATCH(A10,'[1]01-数据'!$C$1:$ND$1))," ")</f>
        <v>0.021</v>
      </c>
      <c r="E10" s="11">
        <f>IF(A10&lt;&gt;"",INDEX('[1]01-数据'!$C$6:$ND$6,MATCH(A10,'[1]01-数据'!$C$1:$ND$1))," ")</f>
        <v>16939.4</v>
      </c>
      <c r="F10" s="15">
        <f>IF(A10&lt;&gt;"",INDEX('[1]01-数据'!$C$7:$ND$7,MATCH(A10,'[1]01-数据'!$C$1:$ND$1))," ")</f>
        <v>0.0114</v>
      </c>
      <c r="G10" s="11">
        <f>IF(A10&lt;&gt;"",INDEX('[1]01-数据'!$C$11:$ND$11,MATCH(A10,'[1]01-数据'!$C$1:$ND$1))," ")</f>
        <v>11.96</v>
      </c>
      <c r="H10" s="11">
        <f>IF(A10&lt;&gt;"",INDEX('[1]01-数据'!$C$14:$ND$14,MATCH(A10,'[1]01-数据'!$C$1:$ND$1))," ")</f>
        <v>9.26</v>
      </c>
    </row>
    <row r="11" spans="1:8">
      <c r="A11" s="27">
        <v>45359</v>
      </c>
      <c r="B11" s="8">
        <f>IF(A11&lt;&gt;"",INDEX('[1]01-数据'!$C$2:$ND$2,MATCH(A11,'[1]01-数据'!$C$1:$ND$1))," ")</f>
        <v>262.65</v>
      </c>
      <c r="C11" s="8">
        <f>IF(A11&lt;&gt;"",INDEX('[1]01-数据'!$C$3:$ND$3,MATCH(A11,'[1]01-数据'!$C$1:$ND$1))," ")</f>
        <v>2116.65</v>
      </c>
      <c r="D11" s="9">
        <f>IF(A11&lt;&gt;"",INDEX('[1]01-数据'!$C$4:$ND$4,MATCH(A11,'[1]01-数据'!$C$1:$ND$1))," ")</f>
        <v>0.0223</v>
      </c>
      <c r="E11" s="8">
        <f>IF(A11&lt;&gt;"",INDEX('[1]01-数据'!$C$6:$ND$6,MATCH(A11,'[1]01-数据'!$C$1:$ND$1))," ")</f>
        <v>17202.05</v>
      </c>
      <c r="F11" s="14">
        <f>IF(A11&lt;&gt;"",INDEX('[1]01-数据'!$C$7:$ND$7,MATCH(A11,'[1]01-数据'!$C$1:$ND$1))," ")</f>
        <v>0.0117</v>
      </c>
      <c r="G11" s="8">
        <f>IF(A11&lt;&gt;"",INDEX('[1]01-数据'!$C$11:$ND$11,MATCH(A11,'[1]01-数据'!$C$1:$ND$1))," ")</f>
        <v>11.42</v>
      </c>
      <c r="H11" s="8">
        <f>IF(A11&lt;&gt;"",INDEX('[1]01-数据'!$C$14:$ND$14,MATCH(A11,'[1]01-数据'!$C$1:$ND$1))," ")</f>
        <v>9.24</v>
      </c>
    </row>
    <row r="12" spans="1:8">
      <c r="A12" s="27">
        <v>45360</v>
      </c>
      <c r="B12" s="8">
        <f>IF(A12&lt;&gt;"",INDEX('[1]01-数据'!$C$2:$ND$2,MATCH(A12,'[1]01-数据'!$C$1:$ND$1))," ")</f>
        <v>256.07</v>
      </c>
      <c r="C12" s="8">
        <f>IF(A12&lt;&gt;"",INDEX('[1]01-数据'!$C$3:$ND$3,MATCH(A12,'[1]01-数据'!$C$1:$ND$1))," ")</f>
        <v>2372.72</v>
      </c>
      <c r="D12" s="9">
        <f>IF(A12&lt;&gt;"",INDEX('[1]01-数据'!$C$4:$ND$4,MATCH(A12,'[1]01-数据'!$C$1:$ND$1))," ")</f>
        <v>0.0221</v>
      </c>
      <c r="E12" s="8">
        <f>IF(A12&lt;&gt;"",INDEX('[1]01-数据'!$C$6:$ND$6,MATCH(A12,'[1]01-数据'!$C$1:$ND$1))," ")</f>
        <v>17458.12</v>
      </c>
      <c r="F12" s="14">
        <f>IF(A12&lt;&gt;"",INDEX('[1]01-数据'!$C$7:$ND$7,MATCH(A12,'[1]01-数据'!$C$1:$ND$1))," ")</f>
        <v>0.0118</v>
      </c>
      <c r="G12" s="8">
        <f>IF(A12&lt;&gt;"",INDEX('[1]01-数据'!$C$11:$ND$11,MATCH(A12,'[1]01-数据'!$C$1:$ND$1))," ")</f>
        <v>11.15</v>
      </c>
      <c r="H12" s="8">
        <f>IF(A12&lt;&gt;"",INDEX('[1]01-数据'!$C$14:$ND$14,MATCH(A12,'[1]01-数据'!$C$1:$ND$1))," ")</f>
        <v>9.02</v>
      </c>
    </row>
    <row r="13" spans="1:11">
      <c r="A13" s="28">
        <v>45361</v>
      </c>
      <c r="B13" s="11">
        <f>IF(A13&lt;&gt;"",INDEX('[1]01-数据'!$C$2:$ND$2,MATCH(A13,'[1]01-数据'!$C$1:$ND$1))," ")</f>
        <v>259.36</v>
      </c>
      <c r="C13" s="11">
        <f>IF(A13&lt;&gt;"",INDEX('[1]01-数据'!$C$3:$ND$3,MATCH(A13,'[1]01-数据'!$C$1:$ND$1))," ")</f>
        <v>2632.08</v>
      </c>
      <c r="D13" s="12">
        <f>IF(A13&lt;&gt;"",INDEX('[1]01-数据'!$C$4:$ND$4,MATCH(A13,'[1]01-数据'!$C$1:$ND$1))," ")</f>
        <v>0.0257</v>
      </c>
      <c r="E13" s="11">
        <f>IF(A13&lt;&gt;"",INDEX('[1]01-数据'!$C$6:$ND$6,MATCH(A13,'[1]01-数据'!$C$1:$ND$1))," ")</f>
        <v>17717.48</v>
      </c>
      <c r="F13" s="15">
        <f>IF(A13&lt;&gt;"",INDEX('[1]01-数据'!$C$7:$ND$7,MATCH(A13,'[1]01-数据'!$C$1:$ND$1))," ")</f>
        <v>0.0125</v>
      </c>
      <c r="G13" s="11">
        <f>IF(A13&lt;&gt;"",INDEX('[1]01-数据'!$C$11:$ND$11,MATCH(A13,'[1]01-数据'!$C$1:$ND$1))," ")</f>
        <v>11.5</v>
      </c>
      <c r="H13" s="11">
        <f>IF(A13&lt;&gt;"",INDEX('[1]01-数据'!$C$14:$ND$14,MATCH(A13,'[1]01-数据'!$C$1:$ND$1))," ")</f>
        <v>8.79</v>
      </c>
      <c r="K13" s="17"/>
    </row>
    <row r="14" spans="1:11">
      <c r="A14" s="28">
        <v>45362</v>
      </c>
      <c r="B14" s="11">
        <f>IF(A14&lt;&gt;"",INDEX('[1]01-数据'!$C$2:$ND$2,MATCH(A14,'[1]01-数据'!$C$1:$ND$1))," ")</f>
        <v>259.7</v>
      </c>
      <c r="C14" s="11">
        <f>IF(A14&lt;&gt;"",INDEX('[1]01-数据'!$C$3:$ND$3,MATCH(A14,'[1]01-数据'!$C$1:$ND$1))," ")</f>
        <v>2891.78</v>
      </c>
      <c r="D14" s="12">
        <f>IF(A14&lt;&gt;"",INDEX('[1]01-数据'!$C$4:$ND$4,MATCH(A14,'[1]01-数据'!$C$1:$ND$1))," ")</f>
        <v>0.0282</v>
      </c>
      <c r="E14" s="11">
        <f>IF(A14&lt;&gt;"",INDEX('[1]01-数据'!$C$6:$ND$6,MATCH(A14,'[1]01-数据'!$C$1:$ND$1))," ")</f>
        <v>17977.18</v>
      </c>
      <c r="F14" s="15">
        <f>IF(A14&lt;&gt;"",INDEX('[1]01-数据'!$C$7:$ND$7,MATCH(A14,'[1]01-数据'!$C$1:$ND$1))," ")</f>
        <v>0.0131</v>
      </c>
      <c r="G14" s="11">
        <f>IF(A14&lt;&gt;"",INDEX('[1]01-数据'!$C$11:$ND$11,MATCH(A14,'[1]01-数据'!$C$1:$ND$1))," ")</f>
        <v>11.36</v>
      </c>
      <c r="H14" s="11">
        <f>IF(A14&lt;&gt;"",INDEX('[1]01-数据'!$C$14:$ND$14,MATCH(A14,'[1]01-数据'!$C$1:$ND$1))," ")</f>
        <v>8.93</v>
      </c>
      <c r="K14" s="17"/>
    </row>
    <row r="15" spans="1:11">
      <c r="A15" s="28">
        <v>45363</v>
      </c>
      <c r="B15" s="11">
        <f>IF(A15&lt;&gt;"",INDEX('[1]01-数据'!$C$2:$ND$2,MATCH(A15,'[1]01-数据'!$C$1:$ND$1))," ")</f>
        <v>260.23</v>
      </c>
      <c r="C15" s="11">
        <f>IF(A15&lt;&gt;"",INDEX('[1]01-数据'!$C$3:$ND$3,MATCH(A15,'[1]01-数据'!$C$1:$ND$1))," ")</f>
        <v>3152</v>
      </c>
      <c r="D15" s="12">
        <f>IF(A15&lt;&gt;"",INDEX('[1]01-数据'!$C$4:$ND$4,MATCH(A15,'[1]01-数据'!$C$1:$ND$1))," ")</f>
        <v>0.0304</v>
      </c>
      <c r="E15" s="11">
        <f>IF(A15&lt;&gt;"",INDEX('[1]01-数据'!$C$6:$ND$6,MATCH(A15,'[1]01-数据'!$C$1:$ND$1))," ")</f>
        <v>18237.41</v>
      </c>
      <c r="F15" s="15">
        <f>IF(A15&lt;&gt;"",INDEX('[1]01-数据'!$C$7:$ND$7,MATCH(A15,'[1]01-数据'!$C$1:$ND$1))," ")</f>
        <v>0.0137</v>
      </c>
      <c r="G15" s="11">
        <f>IF(A15&lt;&gt;"",INDEX('[1]01-数据'!$C$11:$ND$11,MATCH(A15,'[1]01-数据'!$C$1:$ND$1))," ")</f>
        <v>11.44</v>
      </c>
      <c r="H15" s="11">
        <f>IF(A15&lt;&gt;"",INDEX('[1]01-数据'!$C$14:$ND$14,MATCH(A15,'[1]01-数据'!$C$1:$ND$1))," ")</f>
        <v>8.95</v>
      </c>
      <c r="K15" s="17"/>
    </row>
    <row r="16" spans="1:8">
      <c r="A16" s="28">
        <v>45364</v>
      </c>
      <c r="B16" s="11">
        <f>IF(A16&lt;&gt;"",INDEX('[1]01-数据'!$C$2:$ND$2,MATCH(A16,'[1]01-数据'!$C$1:$ND$1))," ")</f>
        <v>262.02</v>
      </c>
      <c r="C16" s="11">
        <f>IF(A16&lt;&gt;"",INDEX('[1]01-数据'!$C$3:$ND$3,MATCH(A16,'[1]01-数据'!$C$1:$ND$1))," ")</f>
        <v>3414.03</v>
      </c>
      <c r="D16" s="12">
        <f>IF(A16&lt;&gt;"",INDEX('[1]01-数据'!$C$4:$ND$4,MATCH(A16,'[1]01-数据'!$C$1:$ND$1))," ")</f>
        <v>0.0325</v>
      </c>
      <c r="E16" s="11">
        <f>IF(A16&lt;&gt;"",INDEX('[1]01-数据'!$C$6:$ND$6,MATCH(A16,'[1]01-数据'!$C$1:$ND$1))," ")</f>
        <v>18499.43</v>
      </c>
      <c r="F16" s="15">
        <f>IF(A16&lt;&gt;"",INDEX('[1]01-数据'!$C$7:$ND$7,MATCH(A16,'[1]01-数据'!$C$1:$ND$1))," ")</f>
        <v>0.0143</v>
      </c>
      <c r="G16" s="11">
        <f>IF(A16&lt;&gt;"",INDEX('[1]01-数据'!$C$11:$ND$11,MATCH(A16,'[1]01-数据'!$C$1:$ND$1))," ")</f>
        <v>11.56</v>
      </c>
      <c r="H16" s="11">
        <f>IF(A16&lt;&gt;"",INDEX('[1]01-数据'!$C$14:$ND$14,MATCH(A16,'[1]01-数据'!$C$1:$ND$1))," ")</f>
        <v>9.02</v>
      </c>
    </row>
    <row r="17" spans="1:8">
      <c r="A17" s="28">
        <v>45365</v>
      </c>
      <c r="B17" s="11">
        <f>IF(A17&lt;&gt;"",INDEX('[1]01-数据'!$C$2:$ND$2,MATCH(A17,'[1]01-数据'!$C$1:$ND$1))," ")</f>
        <v>264.84</v>
      </c>
      <c r="C17" s="11">
        <f>IF(A17&lt;&gt;"",INDEX('[1]01-数据'!$C$3:$ND$3,MATCH(A17,'[1]01-数据'!$C$1:$ND$1))," ")</f>
        <v>3678.86</v>
      </c>
      <c r="D17" s="12">
        <f>IF(A17&lt;&gt;"",INDEX('[1]01-数据'!$C$4:$ND$4,MATCH(A17,'[1]01-数据'!$C$1:$ND$1))," ")</f>
        <v>0.0351</v>
      </c>
      <c r="E17" s="11">
        <f>IF(A17&lt;&gt;"",INDEX('[1]01-数据'!$C$6:$ND$6,MATCH(A17,'[1]01-数据'!$C$1:$ND$1))," ")</f>
        <v>18764.27</v>
      </c>
      <c r="F17" s="15">
        <f>IF(A17&lt;&gt;"",INDEX('[1]01-数据'!$C$7:$ND$7,MATCH(A17,'[1]01-数据'!$C$1:$ND$1))," ")</f>
        <v>0.015</v>
      </c>
      <c r="G17" s="11">
        <f>IF(A17&lt;&gt;"",INDEX('[1]01-数据'!$C$11:$ND$11,MATCH(A17,'[1]01-数据'!$C$1:$ND$1))," ")</f>
        <v>11.74</v>
      </c>
      <c r="H17" s="11">
        <f>IF(A17&lt;&gt;"",INDEX('[1]01-数据'!$C$14:$ND$14,MATCH(A17,'[1]01-数据'!$C$1:$ND$1))," ")</f>
        <v>9.08</v>
      </c>
    </row>
    <row r="18" spans="1:8">
      <c r="A18" s="27">
        <v>45366</v>
      </c>
      <c r="B18" s="8">
        <f>IF(A18&lt;&gt;"",INDEX('[1]01-数据'!$C$2:$ND$2,MATCH(A18,'[1]01-数据'!$C$1:$ND$1))," ")</f>
        <v>263.15</v>
      </c>
      <c r="C18" s="8">
        <f>IF(A18&lt;&gt;"",INDEX('[1]01-数据'!$C$3:$ND$3,MATCH(A18,'[1]01-数据'!$C$1:$ND$1))," ")</f>
        <v>3942.02</v>
      </c>
      <c r="D18" s="9">
        <f>IF(A18&lt;&gt;"",INDEX('[1]01-数据'!$C$4:$ND$4,MATCH(A18,'[1]01-数据'!$C$1:$ND$1))," ")</f>
        <v>0.0377</v>
      </c>
      <c r="E18" s="8">
        <f>IF(A18&lt;&gt;"",INDEX('[1]01-数据'!$C$6:$ND$6,MATCH(A18,'[1]01-数据'!$C$1:$ND$1))," ")</f>
        <v>19027.42</v>
      </c>
      <c r="F18" s="14">
        <f>IF(A18&lt;&gt;"",INDEX('[1]01-数据'!$C$7:$ND$7,MATCH(A18,'[1]01-数据'!$C$1:$ND$1))," ")</f>
        <v>0.0158</v>
      </c>
      <c r="G18" s="8">
        <f>IF(A18&lt;&gt;"",INDEX('[1]01-数据'!$C$11:$ND$11,MATCH(A18,'[1]01-数据'!$C$1:$ND$1))," ")</f>
        <v>11.6</v>
      </c>
      <c r="H18" s="8">
        <f>IF(A18&lt;&gt;"",INDEX('[1]01-数据'!$C$14:$ND$14,MATCH(A18,'[1]01-数据'!$C$1:$ND$1))," ")</f>
        <v>9.13</v>
      </c>
    </row>
    <row r="19" spans="1:8">
      <c r="A19" s="27">
        <v>45367</v>
      </c>
      <c r="B19" s="8">
        <f>IF(A19&lt;&gt;"",INDEX('[1]01-数据'!$C$2:$ND$2,MATCH(A19,'[1]01-数据'!$C$1:$ND$1))," ")</f>
        <v>255.68</v>
      </c>
      <c r="C19" s="8">
        <f>IF(A19&lt;&gt;"",INDEX('[1]01-数据'!$C$3:$ND$3,MATCH(A19,'[1]01-数据'!$C$1:$ND$1))," ")</f>
        <v>4197.7</v>
      </c>
      <c r="D19" s="9">
        <f>IF(A19&lt;&gt;"",INDEX('[1]01-数据'!$C$4:$ND$4,MATCH(A19,'[1]01-数据'!$C$1:$ND$1))," ")</f>
        <v>0.0392</v>
      </c>
      <c r="E19" s="8">
        <f>IF(A19&lt;&gt;"",INDEX('[1]01-数据'!$C$6:$ND$6,MATCH(A19,'[1]01-数据'!$C$1:$ND$1))," ")</f>
        <v>19283.1</v>
      </c>
      <c r="F19" s="14">
        <f>IF(A19&lt;&gt;"",INDEX('[1]01-数据'!$C$7:$ND$7,MATCH(A19,'[1]01-数据'!$C$1:$ND$1))," ")</f>
        <v>0.0164</v>
      </c>
      <c r="G19" s="8">
        <f>IF(A19&lt;&gt;"",INDEX('[1]01-数据'!$C$11:$ND$11,MATCH(A19,'[1]01-数据'!$C$1:$ND$1))," ")</f>
        <v>11.23</v>
      </c>
      <c r="H19" s="8">
        <f>IF(A19&lt;&gt;"",INDEX('[1]01-数据'!$C$14:$ND$14,MATCH(A19,'[1]01-数据'!$C$1:$ND$1))," ")</f>
        <v>9.04</v>
      </c>
    </row>
    <row r="20" spans="1:8">
      <c r="A20" s="28">
        <v>45368</v>
      </c>
      <c r="B20" s="11">
        <f>IF(A20&lt;&gt;"",INDEX('[1]01-数据'!$C$2:$ND$2,MATCH(A20,'[1]01-数据'!$C$1:$ND$1))," ")</f>
        <v>262.03</v>
      </c>
      <c r="C20" s="11">
        <f>IF(A20&lt;&gt;"",INDEX('[1]01-数据'!$C$3:$ND$3,MATCH(A20,'[1]01-数据'!$C$1:$ND$1))," ")</f>
        <v>4459.73</v>
      </c>
      <c r="D20" s="12">
        <f>IF(A20&lt;&gt;"",INDEX('[1]01-数据'!$C$4:$ND$4,MATCH(A20,'[1]01-数据'!$C$1:$ND$1))," ")</f>
        <v>0.043</v>
      </c>
      <c r="E20" s="11">
        <f>IF(A20&lt;&gt;"",INDEX('[1]01-数据'!$C$6:$ND$6,MATCH(A20,'[1]01-数据'!$C$1:$ND$1))," ")</f>
        <v>19545.13</v>
      </c>
      <c r="F20" s="15">
        <f>IF(A20&lt;&gt;"",INDEX('[1]01-数据'!$C$7:$ND$7,MATCH(A20,'[1]01-数据'!$C$1:$ND$1))," ")</f>
        <v>0.0175</v>
      </c>
      <c r="G20" s="11">
        <f>IF(A20&lt;&gt;"",INDEX('[1]01-数据'!$C$11:$ND$11,MATCH(A20,'[1]01-数据'!$C$1:$ND$1))," ")</f>
        <v>11.51</v>
      </c>
      <c r="H20" s="11">
        <f>IF(A20&lt;&gt;"",INDEX('[1]01-数据'!$C$14:$ND$14,MATCH(A20,'[1]01-数据'!$C$1:$ND$1))," ")</f>
        <v>8.9</v>
      </c>
    </row>
    <row r="21" spans="1:8">
      <c r="A21" s="28">
        <v>45369</v>
      </c>
      <c r="B21" s="11">
        <f>IF(A21&lt;&gt;"",INDEX('[1]01-数据'!$C$2:$ND$2,MATCH(A21,'[1]01-数据'!$C$1:$ND$1))," ")</f>
        <v>262.66</v>
      </c>
      <c r="C21" s="11">
        <f>IF(A21&lt;&gt;"",INDEX('[1]01-数据'!$C$3:$ND$3,MATCH(A21,'[1]01-数据'!$C$1:$ND$1))," ")</f>
        <v>4722.39</v>
      </c>
      <c r="D21" s="12">
        <f>IF(A21&lt;&gt;"",INDEX('[1]01-数据'!$C$4:$ND$4,MATCH(A21,'[1]01-数据'!$C$1:$ND$1))," ")</f>
        <v>0.0447</v>
      </c>
      <c r="E21" s="11">
        <f>IF(A21&lt;&gt;"",INDEX('[1]01-数据'!$C$6:$ND$6,MATCH(A21,'[1]01-数据'!$C$1:$ND$1))," ")</f>
        <v>19807.79</v>
      </c>
      <c r="F21" s="15">
        <f>IF(A21&lt;&gt;"",INDEX('[1]01-数据'!$C$7:$ND$7,MATCH(A21,'[1]01-数据'!$C$1:$ND$1))," ")</f>
        <v>0.0182</v>
      </c>
      <c r="G21" s="11">
        <f>IF(A21&lt;&gt;"",INDEX('[1]01-数据'!$C$11:$ND$11,MATCH(A21,'[1]01-数据'!$C$1:$ND$1))," ")</f>
        <v>11.46</v>
      </c>
      <c r="H21" s="11">
        <f>IF(A21&lt;&gt;"",INDEX('[1]01-数据'!$C$14:$ND$14,MATCH(A21,'[1]01-数据'!$C$1:$ND$1))," ")</f>
        <v>9.12</v>
      </c>
    </row>
    <row r="22" spans="1:8">
      <c r="A22" s="28">
        <v>45370</v>
      </c>
      <c r="B22" s="11">
        <f>IF(A22&lt;&gt;"",INDEX('[1]01-数据'!$C$2:$ND$2,MATCH(A22,'[1]01-数据'!$C$1:$ND$1))," ")</f>
        <v>259.82</v>
      </c>
      <c r="C22" s="11">
        <f>IF(A22&lt;&gt;"",INDEX('[1]01-数据'!$C$3:$ND$3,MATCH(A22,'[1]01-数据'!$C$1:$ND$1))," ")</f>
        <v>4982.21</v>
      </c>
      <c r="D22" s="12">
        <f>IF(A22&lt;&gt;"",INDEX('[1]01-数据'!$C$4:$ND$4,MATCH(A22,'[1]01-数据'!$C$1:$ND$1))," ")</f>
        <v>0.0456</v>
      </c>
      <c r="E22" s="11">
        <f>IF(A22&lt;&gt;"",INDEX('[1]01-数据'!$C$6:$ND$6,MATCH(A22,'[1]01-数据'!$C$1:$ND$1))," ")</f>
        <v>20067.61</v>
      </c>
      <c r="F22" s="15">
        <f>IF(A22&lt;&gt;"",INDEX('[1]01-数据'!$C$7:$ND$7,MATCH(A22,'[1]01-数据'!$C$1:$ND$1))," ")</f>
        <v>0.0188</v>
      </c>
      <c r="G22" s="11">
        <f>IF(A22&lt;&gt;"",INDEX('[1]01-数据'!$C$11:$ND$11,MATCH(A22,'[1]01-数据'!$C$1:$ND$1))," ")</f>
        <v>11.33</v>
      </c>
      <c r="H22" s="11">
        <f>IF(A22&lt;&gt;"",INDEX('[1]01-数据'!$C$14:$ND$14,MATCH(A22,'[1]01-数据'!$C$1:$ND$1))," ")</f>
        <v>9.1</v>
      </c>
    </row>
    <row r="23" spans="1:8">
      <c r="A23" s="28">
        <v>45371</v>
      </c>
      <c r="B23" s="11">
        <f>IF(A23&lt;&gt;"",INDEX('[1]01-数据'!$C$2:$ND$2,MATCH(A23,'[1]01-数据'!$C$1:$ND$1))," ")</f>
        <v>256.91</v>
      </c>
      <c r="C23" s="11">
        <f>IF(A23&lt;&gt;"",INDEX('[1]01-数据'!$C$3:$ND$3,MATCH(A23,'[1]01-数据'!$C$1:$ND$1))," ")</f>
        <v>5239.11</v>
      </c>
      <c r="D23" s="12">
        <f>IF(A23&lt;&gt;"",INDEX('[1]01-数据'!$C$4:$ND$4,MATCH(A23,'[1]01-数据'!$C$1:$ND$1))," ")</f>
        <v>0.0466</v>
      </c>
      <c r="E23" s="11">
        <f>IF(A23&lt;&gt;"",INDEX('[1]01-数据'!$C$6:$ND$6,MATCH(A23,'[1]01-数据'!$C$1:$ND$1))," ")</f>
        <v>20324.52</v>
      </c>
      <c r="F23" s="15">
        <f>IF(A23&lt;&gt;"",INDEX('[1]01-数据'!$C$7:$ND$7,MATCH(A23,'[1]01-数据'!$C$1:$ND$1))," ")</f>
        <v>0.0193</v>
      </c>
      <c r="G23" s="11">
        <f>IF(A23&lt;&gt;"",INDEX('[1]01-数据'!$C$11:$ND$11,MATCH(A23,'[1]01-数据'!$C$1:$ND$1))," ")</f>
        <v>11.16</v>
      </c>
      <c r="H23" s="11">
        <f>IF(A23&lt;&gt;"",INDEX('[1]01-数据'!$C$14:$ND$14,MATCH(A23,'[1]01-数据'!$C$1:$ND$1))," ")</f>
        <v>8.97</v>
      </c>
    </row>
    <row r="24" spans="1:8">
      <c r="A24" s="28">
        <v>45372</v>
      </c>
      <c r="B24" s="11">
        <f>IF(A24&lt;&gt;"",INDEX('[1]01-数据'!$C$2:$ND$2,MATCH(A24,'[1]01-数据'!$C$1:$ND$1))," ")</f>
        <v>253.6</v>
      </c>
      <c r="C24" s="11">
        <f>IF(A24&lt;&gt;"",INDEX('[1]01-数据'!$C$3:$ND$3,MATCH(A24,'[1]01-数据'!$C$1:$ND$1))," ")</f>
        <v>5492.71</v>
      </c>
      <c r="D24" s="12">
        <f>IF(A24&lt;&gt;"",INDEX('[1]01-数据'!$C$4:$ND$4,MATCH(A24,'[1]01-数据'!$C$1:$ND$1))," ")</f>
        <v>0.0466</v>
      </c>
      <c r="E24" s="11">
        <f>IF(A24&lt;&gt;"",INDEX('[1]01-数据'!$C$6:$ND$6,MATCH(A24,'[1]01-数据'!$C$1:$ND$1))," ")</f>
        <v>20578.12</v>
      </c>
      <c r="F24" s="15">
        <f>IF(A24&lt;&gt;"",INDEX('[1]01-数据'!$C$7:$ND$7,MATCH(A24,'[1]01-数据'!$C$1:$ND$1))," ")</f>
        <v>0.0197</v>
      </c>
      <c r="G24" s="11">
        <f>IF(A24&lt;&gt;"",INDEX('[1]01-数据'!$C$11:$ND$11,MATCH(A24,'[1]01-数据'!$C$1:$ND$1))," ")</f>
        <v>11.01</v>
      </c>
      <c r="H24" s="11">
        <f>IF(A24&lt;&gt;"",INDEX('[1]01-数据'!$C$14:$ND$14,MATCH(A24,'[1]01-数据'!$C$1:$ND$1))," ")</f>
        <v>8.87</v>
      </c>
    </row>
    <row r="25" spans="1:8">
      <c r="A25" s="27">
        <v>45373</v>
      </c>
      <c r="B25" s="8">
        <f>IF(A25&lt;&gt;"",INDEX('[1]01-数据'!$C$2:$ND$2,MATCH(A25,'[1]01-数据'!$C$1:$ND$1))," ")</f>
        <v>249.4</v>
      </c>
      <c r="C25" s="8">
        <f>IF(A25&lt;&gt;"",INDEX('[1]01-数据'!$C$3:$ND$3,MATCH(A25,'[1]01-数据'!$C$1:$ND$1))," ")</f>
        <v>5742.12</v>
      </c>
      <c r="D25" s="9">
        <f>IF(A25&lt;&gt;"",INDEX('[1]01-数据'!$C$4:$ND$4,MATCH(A25,'[1]01-数据'!$C$1:$ND$1))," ")</f>
        <v>0.046</v>
      </c>
      <c r="E25" s="8">
        <f>IF(A25&lt;&gt;"",INDEX('[1]01-数据'!$C$6:$ND$6,MATCH(A25,'[1]01-数据'!$C$1:$ND$1))," ")</f>
        <v>20827.52</v>
      </c>
      <c r="F25" s="14">
        <f>IF(A25&lt;&gt;"",INDEX('[1]01-数据'!$C$7:$ND$7,MATCH(A25,'[1]01-数据'!$C$1:$ND$1))," ")</f>
        <v>0.0198</v>
      </c>
      <c r="G25" s="8">
        <f>IF(A25&lt;&gt;"",INDEX('[1]01-数据'!$C$11:$ND$11,MATCH(A25,'[1]01-数据'!$C$1:$ND$1))," ")</f>
        <v>10.84</v>
      </c>
      <c r="H25" s="8">
        <f>IF(A25&lt;&gt;"",INDEX('[1]01-数据'!$C$14:$ND$14,MATCH(A25,'[1]01-数据'!$C$1:$ND$1))," ")</f>
        <v>8.77</v>
      </c>
    </row>
    <row r="26" spans="1:8">
      <c r="A26" s="27">
        <v>45374</v>
      </c>
      <c r="B26" s="8">
        <f>IF(A26&lt;&gt;"",INDEX('[1]01-数据'!$C$2:$ND$2,MATCH(A26,'[1]01-数据'!$C$1:$ND$1))," ")</f>
        <v>243.22</v>
      </c>
      <c r="C26" s="8">
        <f>IF(A26&lt;&gt;"",INDEX('[1]01-数据'!$C$3:$ND$3,MATCH(A26,'[1]01-数据'!$C$1:$ND$1))," ")</f>
        <v>5985.34</v>
      </c>
      <c r="D26" s="9">
        <f>IF(A26&lt;&gt;"",INDEX('[1]01-数据'!$C$4:$ND$4,MATCH(A26,'[1]01-数据'!$C$1:$ND$1))," ")</f>
        <v>0.0447</v>
      </c>
      <c r="E26" s="8">
        <f>IF(A26&lt;&gt;"",INDEX('[1]01-数据'!$C$6:$ND$6,MATCH(A26,'[1]01-数据'!$C$1:$ND$1))," ")</f>
        <v>21070.74</v>
      </c>
      <c r="F26" s="14">
        <f>IF(A26&lt;&gt;"",INDEX('[1]01-数据'!$C$7:$ND$7,MATCH(A26,'[1]01-数据'!$C$1:$ND$1))," ")</f>
        <v>0.0198</v>
      </c>
      <c r="G26" s="8">
        <f>IF(A26&lt;&gt;"",INDEX('[1]01-数据'!$C$11:$ND$11,MATCH(A26,'[1]01-数据'!$C$1:$ND$1))," ")</f>
        <v>10.46</v>
      </c>
      <c r="H26" s="8">
        <f>IF(A26&lt;&gt;"",INDEX('[1]01-数据'!$C$14:$ND$14,MATCH(A26,'[1]01-数据'!$C$1:$ND$1))," ")</f>
        <v>8.62</v>
      </c>
    </row>
    <row r="27" spans="1:8">
      <c r="A27" s="28">
        <v>45375</v>
      </c>
      <c r="B27" s="11">
        <f>IF(A27&lt;&gt;"",INDEX('[1]01-数据'!$C$2:$ND$2,MATCH(A27,'[1]01-数据'!$C$1:$ND$1))," ")</f>
        <v>248.55</v>
      </c>
      <c r="C27" s="11">
        <f>IF(A27&lt;&gt;"",INDEX('[1]01-数据'!$C$3:$ND$3,MATCH(A27,'[1]01-数据'!$C$1:$ND$1))," ")</f>
        <v>6233.89</v>
      </c>
      <c r="D27" s="12">
        <f>IF(A27&lt;&gt;"",INDEX('[1]01-数据'!$C$4:$ND$4,MATCH(A27,'[1]01-数据'!$C$1:$ND$1))," ")</f>
        <v>0.0452</v>
      </c>
      <c r="E27" s="11">
        <f>IF(A27&lt;&gt;"",INDEX('[1]01-数据'!$C$6:$ND$6,MATCH(A27,'[1]01-数据'!$C$1:$ND$1))," ")</f>
        <v>21319.29</v>
      </c>
      <c r="F27" s="15">
        <f>IF(A27&lt;&gt;"",INDEX('[1]01-数据'!$C$7:$ND$7,MATCH(A27,'[1]01-数据'!$C$1:$ND$1))," ")</f>
        <v>0.0202</v>
      </c>
      <c r="G27" s="11">
        <f>IF(A27&lt;&gt;"",INDEX('[1]01-数据'!$C$11:$ND$11,MATCH(A27,'[1]01-数据'!$C$1:$ND$1))," ")</f>
        <v>10.89</v>
      </c>
      <c r="H27" s="11">
        <f>IF(A27&lt;&gt;"",INDEX('[1]01-数据'!$C$14:$ND$14,MATCH(A27,'[1]01-数据'!$C$1:$ND$1))," ")</f>
        <v>8.47</v>
      </c>
    </row>
    <row r="28" spans="1:8">
      <c r="A28" s="28">
        <v>45376</v>
      </c>
      <c r="B28" s="11">
        <f>IF(A28&lt;&gt;"",INDEX('[1]01-数据'!$C$2:$ND$2,MATCH(A28,'[1]01-数据'!$C$1:$ND$1))," ")</f>
        <v>250.58</v>
      </c>
      <c r="C28" s="11">
        <f>IF(A28&lt;&gt;"",INDEX('[1]01-数据'!$C$3:$ND$3,MATCH(A28,'[1]01-数据'!$C$1:$ND$1))," ")</f>
        <v>6484.47</v>
      </c>
      <c r="D28" s="12">
        <f>IF(A28&lt;&gt;"",INDEX('[1]01-数据'!$C$4:$ND$4,MATCH(A28,'[1]01-数据'!$C$1:$ND$1))," ")</f>
        <v>0.0449</v>
      </c>
      <c r="E28" s="11">
        <f>IF(A28&lt;&gt;"",INDEX('[1]01-数据'!$C$6:$ND$6,MATCH(A28,'[1]01-数据'!$C$1:$ND$1))," ")</f>
        <v>21569.87</v>
      </c>
      <c r="F28" s="15">
        <f>IF(A28&lt;&gt;"",INDEX('[1]01-数据'!$C$7:$ND$7,MATCH(A28,'[1]01-数据'!$C$1:$ND$1))," ")</f>
        <v>0.0204</v>
      </c>
      <c r="G28" s="11">
        <f>IF(A28&lt;&gt;"",INDEX('[1]01-数据'!$C$11:$ND$11,MATCH(A28,'[1]01-数据'!$C$1:$ND$1))," ")</f>
        <v>10.9</v>
      </c>
      <c r="H28" s="11">
        <f>IF(A28&lt;&gt;"",INDEX('[1]01-数据'!$C$14:$ND$14,MATCH(A28,'[1]01-数据'!$C$1:$ND$1))," ")</f>
        <v>8.68</v>
      </c>
    </row>
    <row r="29" spans="1:8">
      <c r="A29" s="28">
        <v>45377</v>
      </c>
      <c r="B29" s="11">
        <f>IF(A29&lt;&gt;"",INDEX('[1]01-数据'!$C$2:$ND$2,MATCH(A29,'[1]01-数据'!$C$1:$ND$1))," ")</f>
        <v>253.21</v>
      </c>
      <c r="C29" s="11">
        <f>IF(A29&lt;&gt;"",INDEX('[1]01-数据'!$C$3:$ND$3,MATCH(A29,'[1]01-数据'!$C$1:$ND$1))," ")</f>
        <v>6737.68</v>
      </c>
      <c r="D29" s="12">
        <f>IF(A29&lt;&gt;"",INDEX('[1]01-数据'!$C$4:$ND$4,MATCH(A29,'[1]01-数据'!$C$1:$ND$1))," ")</f>
        <v>0.0449</v>
      </c>
      <c r="E29" s="11">
        <f>IF(A29&lt;&gt;"",INDEX('[1]01-数据'!$C$6:$ND$6,MATCH(A29,'[1]01-数据'!$C$1:$ND$1))," ")</f>
        <v>21823.08</v>
      </c>
      <c r="F29" s="15">
        <f>IF(A29&lt;&gt;"",INDEX('[1]01-数据'!$C$7:$ND$7,MATCH(A29,'[1]01-数据'!$C$1:$ND$1))," ")</f>
        <v>0.0207</v>
      </c>
      <c r="G29" s="11">
        <f>IF(A29&lt;&gt;"",INDEX('[1]01-数据'!$C$11:$ND$11,MATCH(A29,'[1]01-数据'!$C$1:$ND$1))," ")</f>
        <v>11.03</v>
      </c>
      <c r="H29" s="11">
        <f>IF(A29&lt;&gt;"",INDEX('[1]01-数据'!$C$14:$ND$14,MATCH(A29,'[1]01-数据'!$C$1:$ND$1))," ")</f>
        <v>8.7</v>
      </c>
    </row>
    <row r="30" spans="1:8">
      <c r="A30" s="28">
        <v>45378</v>
      </c>
      <c r="B30" s="11">
        <f>IF(A30&lt;&gt;"",INDEX('[1]01-数据'!$C$2:$ND$2,MATCH(A30,'[1]01-数据'!$C$1:$ND$1))," ")</f>
        <v>255.25</v>
      </c>
      <c r="C30" s="11">
        <f>IF(A30&lt;&gt;"",INDEX('[1]01-数据'!$C$3:$ND$3,MATCH(A30,'[1]01-数据'!$C$1:$ND$1))," ")</f>
        <v>6992.93</v>
      </c>
      <c r="D30" s="12">
        <f>IF(A30&lt;&gt;"",INDEX('[1]01-数据'!$C$4:$ND$4,MATCH(A30,'[1]01-数据'!$C$1:$ND$1))," ")</f>
        <v>0.0449</v>
      </c>
      <c r="E30" s="11">
        <f>IF(A30&lt;&gt;"",INDEX('[1]01-数据'!$C$6:$ND$6,MATCH(A30,'[1]01-数据'!$C$1:$ND$1))," ")</f>
        <v>22078.33</v>
      </c>
      <c r="F30" s="15">
        <f>IF(A30&lt;&gt;"",INDEX('[1]01-数据'!$C$7:$ND$7,MATCH(A30,'[1]01-数据'!$C$1:$ND$1))," ")</f>
        <v>0.0209</v>
      </c>
      <c r="G30" s="11">
        <f>IF(A30&lt;&gt;"",INDEX('[1]01-数据'!$C$11:$ND$11,MATCH(A30,'[1]01-数据'!$C$1:$ND$1))," ")</f>
        <v>11.22</v>
      </c>
      <c r="H30" s="11">
        <f>IF(A30&lt;&gt;"",INDEX('[1]01-数据'!$C$14:$ND$14,MATCH(A30,'[1]01-数据'!$C$1:$ND$1))," ")</f>
        <v>8.79</v>
      </c>
    </row>
    <row r="31" spans="1:8">
      <c r="A31" s="28">
        <v>45379</v>
      </c>
      <c r="B31" s="11">
        <f>IF(A31&lt;&gt;"",INDEX('[1]01-数据'!$C$2:$ND$2,MATCH(A31,'[1]01-数据'!$C$1:$ND$1))," ")</f>
        <v>258.41</v>
      </c>
      <c r="C31" s="11">
        <f>IF(A31&lt;&gt;"",INDEX('[1]01-数据'!$C$3:$ND$3,MATCH(A31,'[1]01-数据'!$C$1:$ND$1))," ")</f>
        <v>7251.34</v>
      </c>
      <c r="D31" s="12">
        <f>IF(A31&lt;&gt;"",INDEX('[1]01-数据'!$C$4:$ND$4,MATCH(A31,'[1]01-数据'!$C$1:$ND$1))," ")</f>
        <v>0.0456</v>
      </c>
      <c r="E31" s="11">
        <f>IF(A31&lt;&gt;"",INDEX('[1]01-数据'!$C$6:$ND$6,MATCH(A31,'[1]01-数据'!$C$1:$ND$1))," ")</f>
        <v>22336.74</v>
      </c>
      <c r="F31" s="15">
        <f>IF(A31&lt;&gt;"",INDEX('[1]01-数据'!$C$7:$ND$7,MATCH(A31,'[1]01-数据'!$C$1:$ND$1))," ")</f>
        <v>0.0214</v>
      </c>
      <c r="G31" s="11">
        <f>IF(A31&lt;&gt;"",INDEX('[1]01-数据'!$C$11:$ND$11,MATCH(A31,'[1]01-数据'!$C$1:$ND$1))," ")</f>
        <v>11.38</v>
      </c>
      <c r="H31" s="11">
        <f>IF(A31&lt;&gt;"",INDEX('[1]01-数据'!$C$14:$ND$14,MATCH(A31,'[1]01-数据'!$C$1:$ND$1))," ")</f>
        <v>8.9</v>
      </c>
    </row>
    <row r="32" spans="1:8">
      <c r="A32" s="27">
        <v>45380</v>
      </c>
      <c r="B32" s="8">
        <f>IF(A32&lt;&gt;"",INDEX('[1]01-数据'!$C$2:$ND$2,MATCH(A32,'[1]01-数据'!$C$1:$ND$1))," ")</f>
        <v>258.16</v>
      </c>
      <c r="C32" s="8">
        <f>IF(A32&lt;&gt;"",INDEX('[1]01-数据'!$C$3:$ND$3,MATCH(A32,'[1]01-数据'!$C$1:$ND$1))," ")</f>
        <v>7509.51</v>
      </c>
      <c r="D32" s="9">
        <f>IF(A32&lt;&gt;"",INDEX('[1]01-数据'!$C$4:$ND$4,MATCH(A32,'[1]01-数据'!$C$1:$ND$1))," ")</f>
        <v>0.0464</v>
      </c>
      <c r="E32" s="8">
        <f>IF(A32&lt;&gt;"",INDEX('[1]01-数据'!$C$6:$ND$6,MATCH(A32,'[1]01-数据'!$C$1:$ND$1))," ")</f>
        <v>22594.91</v>
      </c>
      <c r="F32" s="14">
        <f>IF(A32&lt;&gt;"",INDEX('[1]01-数据'!$C$7:$ND$7,MATCH(A32,'[1]01-数据'!$C$1:$ND$1))," ")</f>
        <v>0.022</v>
      </c>
      <c r="G32" s="8">
        <f>IF(A32&lt;&gt;"",INDEX('[1]01-数据'!$C$11:$ND$11,MATCH(A32,'[1]01-数据'!$C$1:$ND$1))," ")</f>
        <v>11.35</v>
      </c>
      <c r="H32" s="8">
        <f>IF(A32&lt;&gt;"",INDEX('[1]01-数据'!$C$14:$ND$14,MATCH(A32,'[1]01-数据'!$C$1:$ND$1))," ")</f>
        <v>8.96</v>
      </c>
    </row>
    <row r="33" spans="1:8">
      <c r="A33" s="27">
        <v>45381</v>
      </c>
      <c r="B33" s="8">
        <f>IF(A33&lt;&gt;"",INDEX('[1]01-数据'!$C$2:$ND$2,MATCH(A33,'[1]01-数据'!$C$1:$ND$1))," ")</f>
        <v>252.76</v>
      </c>
      <c r="C33" s="8">
        <f>IF(A33&lt;&gt;"",INDEX('[1]01-数据'!$C$3:$ND$3,MATCH(A33,'[1]01-数据'!$C$1:$ND$1))," ")</f>
        <v>7762.27</v>
      </c>
      <c r="D33" s="9">
        <f>IF(A33&lt;&gt;"",INDEX('[1]01-数据'!$C$4:$ND$4,MATCH(A33,'[1]01-数据'!$C$1:$ND$1))," ")</f>
        <v>0.0468</v>
      </c>
      <c r="E33" s="8">
        <f>IF(A33&lt;&gt;"",INDEX('[1]01-数据'!$C$6:$ND$6,MATCH(A33,'[1]01-数据'!$C$1:$ND$1))," ")</f>
        <v>22847.67</v>
      </c>
      <c r="F33" s="14">
        <f>IF(A33&lt;&gt;"",INDEX('[1]01-数据'!$C$7:$ND$7,MATCH(A33,'[1]01-数据'!$C$1:$ND$1))," ")</f>
        <v>0.0224</v>
      </c>
      <c r="G33" s="8">
        <f>IF(A33&lt;&gt;"",INDEX('[1]01-数据'!$C$11:$ND$11,MATCH(A33,'[1]01-数据'!$C$1:$ND$1))," ")</f>
        <v>10.95</v>
      </c>
      <c r="H33" s="8">
        <f>IF(A33&lt;&gt;"",INDEX('[1]01-数据'!$C$14:$ND$14,MATCH(A33,'[1]01-数据'!$C$1:$ND$1))," ")</f>
        <v>8.86</v>
      </c>
    </row>
    <row r="34" spans="1:8">
      <c r="A34" s="28">
        <v>45382</v>
      </c>
      <c r="B34" s="11">
        <f>IF(A34&lt;&gt;"",INDEX('[1]01-数据'!$C$2:$ND$2,MATCH(A34,'[1]01-数据'!$C$1:$ND$1))," ")</f>
        <v>254.4</v>
      </c>
      <c r="C34" s="11">
        <f>IF(A34&lt;&gt;"",INDEX('[1]01-数据'!$C$3:$ND$3,MATCH(A34,'[1]01-数据'!$C$1:$ND$1))," ")</f>
        <v>8016.68</v>
      </c>
      <c r="D34" s="12">
        <f>IF(A34&lt;&gt;"",INDEX('[1]01-数据'!$C$4:$ND$4,MATCH(A34,'[1]01-数据'!$C$1:$ND$1))," ")</f>
        <v>0.0481</v>
      </c>
      <c r="E34" s="11">
        <f>IF(A34&lt;&gt;"",INDEX('[1]01-数据'!$C$6:$ND$6,MATCH(A34,'[1]01-数据'!$C$1:$ND$1))," ")</f>
        <v>23102.08</v>
      </c>
      <c r="F34" s="15">
        <f>IF(A34&lt;&gt;"",INDEX('[1]01-数据'!$C$7:$ND$7,MATCH(A34,'[1]01-数据'!$C$1:$ND$1))," ")</f>
        <v>0.0231</v>
      </c>
      <c r="G34" s="11">
        <f>IF(A34&lt;&gt;"",INDEX('[1]01-数据'!$C$11:$ND$11,MATCH(A34,'[1]01-数据'!$C$1:$ND$1))," ")</f>
        <v>11.19</v>
      </c>
      <c r="H34" s="11">
        <f>IF(A34&lt;&gt;"",INDEX('[1]01-数据'!$C$14:$ND$14,MATCH(A34,'[1]01-数据'!$C$1:$ND$1))," ")</f>
        <v>8.7</v>
      </c>
    </row>
    <row r="35" spans="1:8">
      <c r="A35" s="13" t="s">
        <v>9</v>
      </c>
      <c r="B35" s="35"/>
      <c r="C35" s="35"/>
      <c r="D35" s="35"/>
      <c r="E35" s="35"/>
      <c r="F35" s="35"/>
      <c r="G35" s="36"/>
      <c r="H35" s="3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4"/>
  <sheetViews>
    <sheetView zoomScale="145" zoomScaleNormal="145" topLeftCell="A11" workbookViewId="0">
      <selection activeCell="B30" sqref="B30:H33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14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30" t="s">
        <v>5</v>
      </c>
      <c r="G3" s="5" t="s">
        <v>7</v>
      </c>
      <c r="H3" s="5" t="s">
        <v>8</v>
      </c>
    </row>
    <row r="4" spans="1:8">
      <c r="A4" s="28">
        <v>45383</v>
      </c>
      <c r="B4" s="11">
        <f>IF(A4&lt;&gt;"",INDEX('[1]01-数据'!$C$2:$ND$2,MATCH(A4,'[1]01-数据'!$C$1:$ND$1))," ")</f>
        <v>251.81</v>
      </c>
      <c r="C4" s="11">
        <f>IF(A4&lt;&gt;"",INDEX('[1]01-数据'!$C$3:$ND$3,MATCH(A4,'[1]01-数据'!$C$1:$ND$1))," ")</f>
        <v>251.81</v>
      </c>
      <c r="D4" s="15">
        <f>IF(A4&lt;&gt;"",INDEX('[1]01-数据'!$C$4:$ND$4,MATCH(A4,'[1]01-数据'!$C$1:$ND$1))," ")</f>
        <v>0.0614</v>
      </c>
      <c r="E4" s="11">
        <f>IF(A4&lt;&gt;"",INDEX('[1]01-数据'!$C$6:$ND$6,MATCH(A4,'[1]01-数据'!$C$1:$ND$1))," ")</f>
        <v>23353.89</v>
      </c>
      <c r="F4" s="15">
        <f>IF(A4&lt;&gt;"",INDEX('[1]01-数据'!$C$7:$ND$7,MATCH(A4,'[1]01-数据'!$C$1:$ND$1))," ")</f>
        <v>0.0235</v>
      </c>
      <c r="G4" s="11">
        <f>IF(A4&lt;&gt;"",INDEX('[1]01-数据'!$C$11:$ND$11,MATCH(A4,'[1]01-数据'!$C$1:$ND$1))," ")</f>
        <v>10.95</v>
      </c>
      <c r="H4" s="11">
        <f>IF(A4&lt;&gt;"",INDEX('[1]01-数据'!$C$14:$ND$14,MATCH(A4,'[1]01-数据'!$C$1:$ND$1))," ")</f>
        <v>8.74</v>
      </c>
    </row>
    <row r="5" spans="1:8">
      <c r="A5" s="28">
        <v>45384</v>
      </c>
      <c r="B5" s="11">
        <f>IF(A5&lt;&gt;"",INDEX('[1]01-数据'!$C$2:$ND$2,MATCH(A5,'[1]01-数据'!$C$1:$ND$1))," ")</f>
        <v>251.07</v>
      </c>
      <c r="C5" s="11">
        <f>IF(A5&lt;&gt;"",INDEX('[1]01-数据'!$C$3:$ND$3,MATCH(A5,'[1]01-数据'!$C$1:$ND$1))," ")</f>
        <v>502.88</v>
      </c>
      <c r="D5" s="15">
        <f>IF(A5&lt;&gt;"",INDEX('[1]01-数据'!$C$4:$ND$4,MATCH(A5,'[1]01-数据'!$C$1:$ND$1))," ")</f>
        <v>0.0549</v>
      </c>
      <c r="E5" s="11">
        <f>IF(A5&lt;&gt;"",INDEX('[1]01-数据'!$C$6:$ND$6,MATCH(A5,'[1]01-数据'!$C$1:$ND$1))," ")</f>
        <v>23604.96</v>
      </c>
      <c r="F5" s="15">
        <f>IF(A5&lt;&gt;"",INDEX('[1]01-数据'!$C$7:$ND$7,MATCH(A5,'[1]01-数据'!$C$1:$ND$1))," ")</f>
        <v>0.0237</v>
      </c>
      <c r="G5" s="11">
        <f>IF(A5&lt;&gt;"",INDEX('[1]01-数据'!$C$11:$ND$11,MATCH(A5,'[1]01-数据'!$C$1:$ND$1))," ")</f>
        <v>10.93</v>
      </c>
      <c r="H5" s="11">
        <f>IF(A5&lt;&gt;"",INDEX('[1]01-数据'!$C$14:$ND$14,MATCH(A5,'[1]01-数据'!$C$1:$ND$1))," ")</f>
        <v>8.72</v>
      </c>
    </row>
    <row r="6" spans="1:8">
      <c r="A6" s="28">
        <v>45385</v>
      </c>
      <c r="B6" s="11">
        <f>IF(A6&lt;&gt;"",INDEX('[1]01-数据'!$C$2:$ND$2,MATCH(A6,'[1]01-数据'!$C$1:$ND$1))," ")</f>
        <v>248.09</v>
      </c>
      <c r="C6" s="11">
        <f>IF(A6&lt;&gt;"",INDEX('[1]01-数据'!$C$3:$ND$3,MATCH(A6,'[1]01-数据'!$C$1:$ND$1))," ")</f>
        <v>750.97</v>
      </c>
      <c r="D6" s="15">
        <f>IF(A6&lt;&gt;"",INDEX('[1]01-数据'!$C$4:$ND$4,MATCH(A6,'[1]01-数据'!$C$1:$ND$1))," ")</f>
        <v>0.0487</v>
      </c>
      <c r="E6" s="11">
        <f>IF(A6&lt;&gt;"",INDEX('[1]01-数据'!$C$6:$ND$6,MATCH(A6,'[1]01-数据'!$C$1:$ND$1))," ")</f>
        <v>23853.04</v>
      </c>
      <c r="F6" s="15">
        <f>IF(A6&lt;&gt;"",INDEX('[1]01-数据'!$C$7:$ND$7,MATCH(A6,'[1]01-数据'!$C$1:$ND$1))," ")</f>
        <v>0.0238</v>
      </c>
      <c r="G6" s="11">
        <f>IF(A6&lt;&gt;"",INDEX('[1]01-数据'!$C$11:$ND$11,MATCH(A6,'[1]01-数据'!$C$1:$ND$1))," ")</f>
        <v>10.73</v>
      </c>
      <c r="H6" s="11">
        <f>IF(A6&lt;&gt;"",INDEX('[1]01-数据'!$C$14:$ND$14,MATCH(A6,'[1]01-数据'!$C$1:$ND$1))," ")</f>
        <v>8.7</v>
      </c>
    </row>
    <row r="7" spans="1:8">
      <c r="A7" s="27">
        <v>45386</v>
      </c>
      <c r="B7" s="8">
        <f>IF(A7&lt;&gt;"",INDEX('[1]01-数据'!$C$2:$ND$2,MATCH(A7,'[1]01-数据'!$C$1:$ND$1))," ")</f>
        <v>226.07</v>
      </c>
      <c r="C7" s="8">
        <f>IF(A7&lt;&gt;"",INDEX('[1]01-数据'!$C$3:$ND$3,MATCH(A7,'[1]01-数据'!$C$1:$ND$1))," ")</f>
        <v>977.04</v>
      </c>
      <c r="D7" s="14">
        <f>IF(A7&lt;&gt;"",INDEX('[1]01-数据'!$C$4:$ND$4,MATCH(A7,'[1]01-数据'!$C$1:$ND$1))," ")</f>
        <v>0.0465</v>
      </c>
      <c r="E7" s="8">
        <f>IF(A7&lt;&gt;"",INDEX('[1]01-数据'!$C$6:$ND$6,MATCH(A7,'[1]01-数据'!$C$1:$ND$1))," ")</f>
        <v>24079.11</v>
      </c>
      <c r="F7" s="14">
        <f>IF(A7&lt;&gt;"",INDEX('[1]01-数据'!$C$7:$ND$7,MATCH(A7,'[1]01-数据'!$C$1:$ND$1))," ")</f>
        <v>0.024</v>
      </c>
      <c r="G7" s="8">
        <f>IF(A7&lt;&gt;"",INDEX('[1]01-数据'!$C$11:$ND$11,MATCH(A7,'[1]01-数据'!$C$1:$ND$1))," ")</f>
        <v>9.62</v>
      </c>
      <c r="H7" s="8">
        <f>IF(A7&lt;&gt;"",INDEX('[1]01-数据'!$C$14:$ND$14,MATCH(A7,'[1]01-数据'!$C$1:$ND$1))," ")</f>
        <v>8.32</v>
      </c>
    </row>
    <row r="8" spans="1:8">
      <c r="A8" s="27">
        <v>45387</v>
      </c>
      <c r="B8" s="8">
        <f>IF(A8&lt;&gt;"",INDEX('[1]01-数据'!$C$2:$ND$2,MATCH(A8,'[1]01-数据'!$C$1:$ND$1))," ")</f>
        <v>230.61</v>
      </c>
      <c r="C8" s="8">
        <f>IF(A8&lt;&gt;"",INDEX('[1]01-数据'!$C$3:$ND$3,MATCH(A8,'[1]01-数据'!$C$1:$ND$1))," ")</f>
        <v>1207.64</v>
      </c>
      <c r="D8" s="14">
        <f>IF(A8&lt;&gt;"",INDEX('[1]01-数据'!$C$4:$ND$4,MATCH(A8,'[1]01-数据'!$C$1:$ND$1))," ")</f>
        <v>0.0444</v>
      </c>
      <c r="E8" s="8">
        <f>IF(A8&lt;&gt;"",INDEX('[1]01-数据'!$C$6:$ND$6,MATCH(A8,'[1]01-数据'!$C$1:$ND$1))," ")</f>
        <v>24309.72</v>
      </c>
      <c r="F8" s="14">
        <f>IF(A8&lt;&gt;"",INDEX('[1]01-数据'!$C$7:$ND$7,MATCH(A8,'[1]01-数据'!$C$1:$ND$1))," ")</f>
        <v>0.0241</v>
      </c>
      <c r="G8" s="8">
        <f>IF(A8&lt;&gt;"",INDEX('[1]01-数据'!$C$11:$ND$11,MATCH(A8,'[1]01-数据'!$C$1:$ND$1))," ")</f>
        <v>10.13</v>
      </c>
      <c r="H8" s="8">
        <f>IF(A8&lt;&gt;"",INDEX('[1]01-数据'!$C$14:$ND$14,MATCH(A8,'[1]01-数据'!$C$1:$ND$1))," ")</f>
        <v>7.87</v>
      </c>
    </row>
    <row r="9" spans="1:8">
      <c r="A9" s="27">
        <v>45388</v>
      </c>
      <c r="B9" s="8">
        <f>IF(A9&lt;&gt;"",INDEX('[1]01-数据'!$C$2:$ND$2,MATCH(A9,'[1]01-数据'!$C$1:$ND$1))," ")</f>
        <v>239.61</v>
      </c>
      <c r="C9" s="8">
        <f>IF(A9&lt;&gt;"",INDEX('[1]01-数据'!$C$3:$ND$3,MATCH(A9,'[1]01-数据'!$C$1:$ND$1))," ")</f>
        <v>1447.25</v>
      </c>
      <c r="D9" s="14">
        <f>IF(A9&lt;&gt;"",INDEX('[1]01-数据'!$C$4:$ND$4,MATCH(A9,'[1]01-数据'!$C$1:$ND$1))," ")</f>
        <v>0.0428</v>
      </c>
      <c r="E9" s="8">
        <f>IF(A9&lt;&gt;"",INDEX('[1]01-数据'!$C$6:$ND$6,MATCH(A9,'[1]01-数据'!$C$1:$ND$1))," ")</f>
        <v>24549.33</v>
      </c>
      <c r="F9" s="14">
        <f>IF(A9&lt;&gt;"",INDEX('[1]01-数据'!$C$7:$ND$7,MATCH(A9,'[1]01-数据'!$C$1:$ND$1))," ")</f>
        <v>0.0242</v>
      </c>
      <c r="G9" s="8">
        <f>IF(A9&lt;&gt;"",INDEX('[1]01-数据'!$C$11:$ND$11,MATCH(A9,'[1]01-数据'!$C$1:$ND$1))," ")</f>
        <v>10.47</v>
      </c>
      <c r="H9" s="8">
        <f>IF(A9&lt;&gt;"",INDEX('[1]01-数据'!$C$14:$ND$14,MATCH(A9,'[1]01-数据'!$C$1:$ND$1))," ")</f>
        <v>8.25</v>
      </c>
    </row>
    <row r="10" spans="1:8">
      <c r="A10" s="28">
        <v>45389</v>
      </c>
      <c r="B10" s="11">
        <f>IF(A10&lt;&gt;"",INDEX('[1]01-数据'!$C$2:$ND$2,MATCH(A10,'[1]01-数据'!$C$1:$ND$1))," ")</f>
        <v>248.44</v>
      </c>
      <c r="C10" s="11">
        <f>IF(A10&lt;&gt;"",INDEX('[1]01-数据'!$C$3:$ND$3,MATCH(A10,'[1]01-数据'!$C$1:$ND$1))," ")</f>
        <v>1695.69</v>
      </c>
      <c r="D10" s="15">
        <f>IF(A10&lt;&gt;"",INDEX('[1]01-数据'!$C$4:$ND$4,MATCH(A10,'[1]01-数据'!$C$1:$ND$1))," ")</f>
        <v>0.0442</v>
      </c>
      <c r="E10" s="11">
        <f>IF(A10&lt;&gt;"",INDEX('[1]01-数据'!$C$6:$ND$6,MATCH(A10,'[1]01-数据'!$C$1:$ND$1))," ")</f>
        <v>24797.77</v>
      </c>
      <c r="F10" s="15">
        <f>IF(A10&lt;&gt;"",INDEX('[1]01-数据'!$C$7:$ND$7,MATCH(A10,'[1]01-数据'!$C$1:$ND$1))," ")</f>
        <v>0.0245</v>
      </c>
      <c r="G10" s="11">
        <f>IF(A10&lt;&gt;"",INDEX('[1]01-数据'!$C$11:$ND$11,MATCH(A10,'[1]01-数据'!$C$1:$ND$1))," ")</f>
        <v>10.87</v>
      </c>
      <c r="H10" s="11">
        <f>IF(A10&lt;&gt;"",INDEX('[1]01-数据'!$C$14:$ND$14,MATCH(A10,'[1]01-数据'!$C$1:$ND$1))," ")</f>
        <v>8.42</v>
      </c>
    </row>
    <row r="11" spans="1:8">
      <c r="A11" s="28">
        <v>45390</v>
      </c>
      <c r="B11" s="11">
        <f>IF(A11&lt;&gt;"",INDEX('[1]01-数据'!$C$2:$ND$2,MATCH(A11,'[1]01-数据'!$C$1:$ND$1))," ")</f>
        <v>249.92</v>
      </c>
      <c r="C11" s="11">
        <f>IF(A11&lt;&gt;"",INDEX('[1]01-数据'!$C$3:$ND$3,MATCH(A11,'[1]01-数据'!$C$1:$ND$1))," ")</f>
        <v>1945.61</v>
      </c>
      <c r="D11" s="15">
        <f>IF(A11&lt;&gt;"",INDEX('[1]01-数据'!$C$4:$ND$4,MATCH(A11,'[1]01-数据'!$C$1:$ND$1))," ")</f>
        <v>0.0451</v>
      </c>
      <c r="E11" s="11">
        <f>IF(A11&lt;&gt;"",INDEX('[1]01-数据'!$C$6:$ND$6,MATCH(A11,'[1]01-数据'!$C$1:$ND$1))," ")</f>
        <v>25047.68</v>
      </c>
      <c r="F11" s="15">
        <f>IF(A11&lt;&gt;"",INDEX('[1]01-数据'!$C$7:$ND$7,MATCH(A11,'[1]01-数据'!$C$1:$ND$1))," ")</f>
        <v>0.0247</v>
      </c>
      <c r="G11" s="11">
        <f>IF(A11&lt;&gt;"",INDEX('[1]01-数据'!$C$11:$ND$11,MATCH(A11,'[1]01-数据'!$C$1:$ND$1))," ")</f>
        <v>10.97</v>
      </c>
      <c r="H11" s="11">
        <f>IF(A11&lt;&gt;"",INDEX('[1]01-数据'!$C$14:$ND$14,MATCH(A11,'[1]01-数据'!$C$1:$ND$1))," ")</f>
        <v>8.6</v>
      </c>
    </row>
    <row r="12" spans="1:8">
      <c r="A12" s="28">
        <v>45391</v>
      </c>
      <c r="B12" s="11">
        <f>IF(A12&lt;&gt;"",INDEX('[1]01-数据'!$C$2:$ND$2,MATCH(A12,'[1]01-数据'!$C$1:$ND$1))," ")</f>
        <v>251.92</v>
      </c>
      <c r="C12" s="11">
        <f>IF(A12&lt;&gt;"",INDEX('[1]01-数据'!$C$3:$ND$3,MATCH(A12,'[1]01-数据'!$C$1:$ND$1))," ")</f>
        <v>2197.53</v>
      </c>
      <c r="D12" s="15">
        <f>IF(A12&lt;&gt;"",INDEX('[1]01-数据'!$C$4:$ND$4,MATCH(A12,'[1]01-数据'!$C$1:$ND$1))," ")</f>
        <v>0.0472</v>
      </c>
      <c r="E12" s="11">
        <f>IF(A12&lt;&gt;"",INDEX('[1]01-数据'!$C$6:$ND$6,MATCH(A12,'[1]01-数据'!$C$1:$ND$1))," ")</f>
        <v>25299.61</v>
      </c>
      <c r="F12" s="15">
        <f>IF(A12&lt;&gt;"",INDEX('[1]01-数据'!$C$7:$ND$7,MATCH(A12,'[1]01-数据'!$C$1:$ND$1))," ")</f>
        <v>0.0251</v>
      </c>
      <c r="G12" s="11">
        <f>IF(A12&lt;&gt;"",INDEX('[1]01-数据'!$C$11:$ND$11,MATCH(A12,'[1]01-数据'!$C$1:$ND$1))," ")</f>
        <v>11.03</v>
      </c>
      <c r="H12" s="11">
        <f>IF(A12&lt;&gt;"",INDEX('[1]01-数据'!$C$14:$ND$14,MATCH(A12,'[1]01-数据'!$C$1:$ND$1))," ")</f>
        <v>8.68</v>
      </c>
    </row>
    <row r="13" spans="1:11">
      <c r="A13" s="28">
        <v>45392</v>
      </c>
      <c r="B13" s="11">
        <f>IF(A13&lt;&gt;"",INDEX('[1]01-数据'!$C$2:$ND$2,MATCH(A13,'[1]01-数据'!$C$1:$ND$1))," ")</f>
        <v>252.3</v>
      </c>
      <c r="C13" s="11">
        <f>IF(A13&lt;&gt;"",INDEX('[1]01-数据'!$C$3:$ND$3,MATCH(A13,'[1]01-数据'!$C$1:$ND$1))," ")</f>
        <v>2449.83</v>
      </c>
      <c r="D13" s="15">
        <f>IF(A13&lt;&gt;"",INDEX('[1]01-数据'!$C$4:$ND$4,MATCH(A13,'[1]01-数据'!$C$1:$ND$1))," ")</f>
        <v>0.0489</v>
      </c>
      <c r="E13" s="11">
        <f>IF(A13&lt;&gt;"",INDEX('[1]01-数据'!$C$6:$ND$6,MATCH(A13,'[1]01-数据'!$C$1:$ND$1))," ")</f>
        <v>25551.91</v>
      </c>
      <c r="F13" s="15">
        <f>IF(A13&lt;&gt;"",INDEX('[1]01-数据'!$C$7:$ND$7,MATCH(A13,'[1]01-数据'!$C$1:$ND$1))," ")</f>
        <v>0.0255</v>
      </c>
      <c r="G13" s="11">
        <f>IF(A13&lt;&gt;"",INDEX('[1]01-数据'!$C$11:$ND$11,MATCH(A13,'[1]01-数据'!$C$1:$ND$1))," ")</f>
        <v>11.01</v>
      </c>
      <c r="H13" s="11">
        <f>IF(A13&lt;&gt;"",INDEX('[1]01-数据'!$C$14:$ND$14,MATCH(A13,'[1]01-数据'!$C$1:$ND$1))," ")</f>
        <v>8.71</v>
      </c>
      <c r="K13" s="17"/>
    </row>
    <row r="14" spans="1:11">
      <c r="A14" s="28">
        <v>45393</v>
      </c>
      <c r="B14" s="11">
        <f>IF(A14&lt;&gt;"",INDEX('[1]01-数据'!$C$2:$ND$2,MATCH(A14,'[1]01-数据'!$C$1:$ND$1))," ")</f>
        <v>253.31</v>
      </c>
      <c r="C14" s="11">
        <f>IF(A14&lt;&gt;"",INDEX('[1]01-数据'!$C$3:$ND$3,MATCH(A14,'[1]01-数据'!$C$1:$ND$1))," ")</f>
        <v>2703.14</v>
      </c>
      <c r="D14" s="15">
        <f>IF(A14&lt;&gt;"",INDEX('[1]01-数据'!$C$4:$ND$4,MATCH(A14,'[1]01-数据'!$C$1:$ND$1))," ")</f>
        <v>0.0502</v>
      </c>
      <c r="E14" s="11">
        <f>IF(A14&lt;&gt;"",INDEX('[1]01-数据'!$C$6:$ND$6,MATCH(A14,'[1]01-数据'!$C$1:$ND$1))," ")</f>
        <v>25805.22</v>
      </c>
      <c r="F14" s="15">
        <f>IF(A14&lt;&gt;"",INDEX('[1]01-数据'!$C$7:$ND$7,MATCH(A14,'[1]01-数据'!$C$1:$ND$1))," ")</f>
        <v>0.0258</v>
      </c>
      <c r="G14" s="11">
        <f>IF(A14&lt;&gt;"",INDEX('[1]01-数据'!$C$11:$ND$11,MATCH(A14,'[1]01-数据'!$C$1:$ND$1))," ")</f>
        <v>11.16</v>
      </c>
      <c r="H14" s="11">
        <f>IF(A14&lt;&gt;"",INDEX('[1]01-数据'!$C$14:$ND$14,MATCH(A14,'[1]01-数据'!$C$1:$ND$1))," ")</f>
        <v>8.72</v>
      </c>
      <c r="K14" s="17"/>
    </row>
    <row r="15" spans="1:11">
      <c r="A15" s="27">
        <v>45394</v>
      </c>
      <c r="B15" s="8">
        <f>IF(A15&lt;&gt;"",INDEX('[1]01-数据'!$C$2:$ND$2,MATCH(A15,'[1]01-数据'!$C$1:$ND$1))," ")</f>
        <v>245.01</v>
      </c>
      <c r="C15" s="8">
        <f>IF(A15&lt;&gt;"",INDEX('[1]01-数据'!$C$3:$ND$3,MATCH(A15,'[1]01-数据'!$C$1:$ND$1))," ")</f>
        <v>2948.15</v>
      </c>
      <c r="D15" s="14">
        <f>IF(A15&lt;&gt;"",INDEX('[1]01-数据'!$C$4:$ND$4,MATCH(A15,'[1]01-数据'!$C$1:$ND$1))," ")</f>
        <v>0.0479</v>
      </c>
      <c r="E15" s="8">
        <f>IF(A15&lt;&gt;"",INDEX('[1]01-数据'!$C$6:$ND$6,MATCH(A15,'[1]01-数据'!$C$1:$ND$1))," ")</f>
        <v>26050.22</v>
      </c>
      <c r="F15" s="14">
        <f>IF(A15&lt;&gt;"",INDEX('[1]01-数据'!$C$7:$ND$7,MATCH(A15,'[1]01-数据'!$C$1:$ND$1))," ")</f>
        <v>0.0258</v>
      </c>
      <c r="G15" s="8">
        <f>IF(A15&lt;&gt;"",INDEX('[1]01-数据'!$C$11:$ND$11,MATCH(A15,'[1]01-数据'!$C$1:$ND$1))," ")</f>
        <v>10.86</v>
      </c>
      <c r="H15" s="8">
        <f>IF(A15&lt;&gt;"",INDEX('[1]01-数据'!$C$14:$ND$14,MATCH(A15,'[1]01-数据'!$C$1:$ND$1))," ")</f>
        <v>8.6</v>
      </c>
      <c r="K15" s="17"/>
    </row>
    <row r="16" spans="1:8">
      <c r="A16" s="27">
        <v>45395</v>
      </c>
      <c r="B16" s="8">
        <f>IF(A16&lt;&gt;"",INDEX('[1]01-数据'!$C$2:$ND$2,MATCH(A16,'[1]01-数据'!$C$1:$ND$1))," ")</f>
        <v>238.88</v>
      </c>
      <c r="C16" s="8">
        <f>IF(A16&lt;&gt;"",INDEX('[1]01-数据'!$C$3:$ND$3,MATCH(A16,'[1]01-数据'!$C$1:$ND$1))," ")</f>
        <v>3187.02</v>
      </c>
      <c r="D16" s="14">
        <f>IF(A16&lt;&gt;"",INDEX('[1]01-数据'!$C$4:$ND$4,MATCH(A16,'[1]01-数据'!$C$1:$ND$1))," ")</f>
        <v>0.0444</v>
      </c>
      <c r="E16" s="8">
        <f>IF(A16&lt;&gt;"",INDEX('[1]01-数据'!$C$6:$ND$6,MATCH(A16,'[1]01-数据'!$C$1:$ND$1))," ")</f>
        <v>26289.1</v>
      </c>
      <c r="F16" s="14">
        <f>IF(A16&lt;&gt;"",INDEX('[1]01-数据'!$C$7:$ND$7,MATCH(A16,'[1]01-数据'!$C$1:$ND$1))," ")</f>
        <v>0.0256</v>
      </c>
      <c r="G16" s="8">
        <f>IF(A16&lt;&gt;"",INDEX('[1]01-数据'!$C$11:$ND$11,MATCH(A16,'[1]01-数据'!$C$1:$ND$1))," ")</f>
        <v>10.34</v>
      </c>
      <c r="H16" s="8">
        <f>IF(A16&lt;&gt;"",INDEX('[1]01-数据'!$C$14:$ND$14,MATCH(A16,'[1]01-数据'!$C$1:$ND$1))," ")</f>
        <v>8.44</v>
      </c>
    </row>
    <row r="17" spans="1:8">
      <c r="A17" s="28">
        <v>45396</v>
      </c>
      <c r="B17" s="11">
        <f>IF(A17&lt;&gt;"",INDEX('[1]01-数据'!$C$2:$ND$2,MATCH(A17,'[1]01-数据'!$C$1:$ND$1))," ")</f>
        <v>246.04</v>
      </c>
      <c r="C17" s="11">
        <f>IF(A17&lt;&gt;"",INDEX('[1]01-数据'!$C$3:$ND$3,MATCH(A17,'[1]01-数据'!$C$1:$ND$1))," ")</f>
        <v>3433.07</v>
      </c>
      <c r="D17" s="15">
        <f>IF(A17&lt;&gt;"",INDEX('[1]01-数据'!$C$4:$ND$4,MATCH(A17,'[1]01-数据'!$C$1:$ND$1))," ")</f>
        <v>0.0451</v>
      </c>
      <c r="E17" s="11">
        <f>IF(A17&lt;&gt;"",INDEX('[1]01-数据'!$C$6:$ND$6,MATCH(A17,'[1]01-数据'!$C$1:$ND$1))," ")</f>
        <v>26535.14</v>
      </c>
      <c r="F17" s="15">
        <f>IF(A17&lt;&gt;"",INDEX('[1]01-数据'!$C$7:$ND$7,MATCH(A17,'[1]01-数据'!$C$1:$ND$1))," ")</f>
        <v>0.0259</v>
      </c>
      <c r="G17" s="11">
        <f>IF(A17&lt;&gt;"",INDEX('[1]01-数据'!$C$11:$ND$11,MATCH(A17,'[1]01-数据'!$C$1:$ND$1))," ")</f>
        <v>10.82</v>
      </c>
      <c r="H17" s="11">
        <f>IF(A17&lt;&gt;"",INDEX('[1]01-数据'!$C$14:$ND$14,MATCH(A17,'[1]01-数据'!$C$1:$ND$1))," ")</f>
        <v>8.38</v>
      </c>
    </row>
    <row r="18" spans="1:8">
      <c r="A18" s="28">
        <v>45397</v>
      </c>
      <c r="B18" s="11">
        <f>IF(A18&lt;&gt;"",INDEX('[1]01-数据'!$C$2:$ND$2,MATCH(A18,'[1]01-数据'!$C$1:$ND$1))," ")</f>
        <v>248.54</v>
      </c>
      <c r="C18" s="11">
        <f>IF(A18&lt;&gt;"",INDEX('[1]01-数据'!$C$3:$ND$3,MATCH(A18,'[1]01-数据'!$C$1:$ND$1))," ")</f>
        <v>3681.61</v>
      </c>
      <c r="D18" s="15">
        <f>IF(A18&lt;&gt;"",INDEX('[1]01-数据'!$C$4:$ND$4,MATCH(A18,'[1]01-数据'!$C$1:$ND$1))," ")</f>
        <v>0.0443</v>
      </c>
      <c r="E18" s="11">
        <f>IF(A18&lt;&gt;"",INDEX('[1]01-数据'!$C$6:$ND$6,MATCH(A18,'[1]01-数据'!$C$1:$ND$1))," ")</f>
        <v>26783.68</v>
      </c>
      <c r="F18" s="15">
        <f>IF(A18&lt;&gt;"",INDEX('[1]01-数据'!$C$7:$ND$7,MATCH(A18,'[1]01-数据'!$C$1:$ND$1))," ")</f>
        <v>0.0259</v>
      </c>
      <c r="G18" s="11">
        <f>IF(A18&lt;&gt;"",INDEX('[1]01-数据'!$C$11:$ND$11,MATCH(A18,'[1]01-数据'!$C$1:$ND$1))," ")</f>
        <v>10.87</v>
      </c>
      <c r="H18" s="11">
        <f>IF(A18&lt;&gt;"",INDEX('[1]01-数据'!$C$14:$ND$14,MATCH(A18,'[1]01-数据'!$C$1:$ND$1))," ")</f>
        <v>8.64</v>
      </c>
    </row>
    <row r="19" spans="1:8">
      <c r="A19" s="28">
        <v>45398</v>
      </c>
      <c r="B19" s="11">
        <f>IF(A19&lt;&gt;"",INDEX('[1]01-数据'!$C$2:$ND$2,MATCH(A19,'[1]01-数据'!$C$1:$ND$1))," ")</f>
        <v>249.76</v>
      </c>
      <c r="C19" s="11">
        <f>IF(A19&lt;&gt;"",INDEX('[1]01-数据'!$C$3:$ND$3,MATCH(A19,'[1]01-数据'!$C$1:$ND$1))," ")</f>
        <v>3931.37</v>
      </c>
      <c r="D19" s="15">
        <f>IF(A19&lt;&gt;"",INDEX('[1]01-数据'!$C$4:$ND$4,MATCH(A19,'[1]01-数据'!$C$1:$ND$1))," ")</f>
        <v>0.0437</v>
      </c>
      <c r="E19" s="11">
        <f>IF(A19&lt;&gt;"",INDEX('[1]01-数据'!$C$6:$ND$6,MATCH(A19,'[1]01-数据'!$C$1:$ND$1))," ")</f>
        <v>27033.45</v>
      </c>
      <c r="F19" s="15">
        <f>IF(A19&lt;&gt;"",INDEX('[1]01-数据'!$C$7:$ND$7,MATCH(A19,'[1]01-数据'!$C$1:$ND$1))," ")</f>
        <v>0.026</v>
      </c>
      <c r="G19" s="11">
        <f>IF(A19&lt;&gt;"",INDEX('[1]01-数据'!$C$11:$ND$11,MATCH(A19,'[1]01-数据'!$C$1:$ND$1))," ")</f>
        <v>10.93</v>
      </c>
      <c r="H19" s="11">
        <f>IF(A19&lt;&gt;"",INDEX('[1]01-数据'!$C$14:$ND$14,MATCH(A19,'[1]01-数据'!$C$1:$ND$1))," ")</f>
        <v>8.63</v>
      </c>
    </row>
    <row r="20" spans="1:8">
      <c r="A20" s="28">
        <v>45399</v>
      </c>
      <c r="B20" s="11">
        <f>IF(A20&lt;&gt;"",INDEX('[1]01-数据'!$C$2:$ND$2,MATCH(A20,'[1]01-数据'!$C$1:$ND$1))," ")</f>
        <v>252.63</v>
      </c>
      <c r="C20" s="11">
        <f>IF(A20&lt;&gt;"",INDEX('[1]01-数据'!$C$3:$ND$3,MATCH(A20,'[1]01-数据'!$C$1:$ND$1))," ")</f>
        <v>4184</v>
      </c>
      <c r="D20" s="15">
        <f>IF(A20&lt;&gt;"",INDEX('[1]01-数据'!$C$4:$ND$4,MATCH(A20,'[1]01-数据'!$C$1:$ND$1))," ")</f>
        <v>0.0437</v>
      </c>
      <c r="E20" s="11">
        <f>IF(A20&lt;&gt;"",INDEX('[1]01-数据'!$C$6:$ND$6,MATCH(A20,'[1]01-数据'!$C$1:$ND$1))," ")</f>
        <v>27286.08</v>
      </c>
      <c r="F20" s="15">
        <f>IF(A20&lt;&gt;"",INDEX('[1]01-数据'!$C$7:$ND$7,MATCH(A20,'[1]01-数据'!$C$1:$ND$1))," ")</f>
        <v>0.0262</v>
      </c>
      <c r="G20" s="11">
        <f>IF(A20&lt;&gt;"",INDEX('[1]01-数据'!$C$11:$ND$11,MATCH(A20,'[1]01-数据'!$C$1:$ND$1))," ")</f>
        <v>11.13</v>
      </c>
      <c r="H20" s="11">
        <f>IF(A20&lt;&gt;"",INDEX('[1]01-数据'!$C$14:$ND$14,MATCH(A20,'[1]01-数据'!$C$1:$ND$1))," ")</f>
        <v>8.68</v>
      </c>
    </row>
    <row r="21" spans="1:8">
      <c r="A21" s="28">
        <v>45400</v>
      </c>
      <c r="B21" s="11">
        <f>IF(A21&lt;&gt;"",INDEX('[1]01-数据'!$C$2:$ND$2,MATCH(A21,'[1]01-数据'!$C$1:$ND$1))," ")</f>
        <v>255.59</v>
      </c>
      <c r="C21" s="11">
        <f>IF(A21&lt;&gt;"",INDEX('[1]01-数据'!$C$3:$ND$3,MATCH(A21,'[1]01-数据'!$C$1:$ND$1))," ")</f>
        <v>4439.59</v>
      </c>
      <c r="D21" s="15">
        <f>IF(A21&lt;&gt;"",INDEX('[1]01-数据'!$C$4:$ND$4,MATCH(A21,'[1]01-数据'!$C$1:$ND$1))," ")</f>
        <v>0.0446</v>
      </c>
      <c r="E21" s="11">
        <f>IF(A21&lt;&gt;"",INDEX('[1]01-数据'!$C$6:$ND$6,MATCH(A21,'[1]01-数据'!$C$1:$ND$1))," ")</f>
        <v>27541.67</v>
      </c>
      <c r="F21" s="15">
        <f>IF(A21&lt;&gt;"",INDEX('[1]01-数据'!$C$7:$ND$7,MATCH(A21,'[1]01-数据'!$C$1:$ND$1))," ")</f>
        <v>0.0265</v>
      </c>
      <c r="G21" s="11">
        <f>IF(A21&lt;&gt;"",INDEX('[1]01-数据'!$C$11:$ND$11,MATCH(A21,'[1]01-数据'!$C$1:$ND$1))," ")</f>
        <v>11.27</v>
      </c>
      <c r="H21" s="11">
        <f>IF(A21&lt;&gt;"",INDEX('[1]01-数据'!$C$14:$ND$14,MATCH(A21,'[1]01-数据'!$C$1:$ND$1))," ")</f>
        <v>8.78</v>
      </c>
    </row>
    <row r="22" spans="1:8">
      <c r="A22" s="27">
        <v>45401</v>
      </c>
      <c r="B22" s="8">
        <f>IF(A22&lt;&gt;"",INDEX('[1]01-数据'!$C$2:$ND$2,MATCH(A22,'[1]01-数据'!$C$1:$ND$1))," ")</f>
        <v>252.36</v>
      </c>
      <c r="C22" s="8">
        <f>IF(A22&lt;&gt;"",INDEX('[1]01-数据'!$C$3:$ND$3,MATCH(A22,'[1]01-数据'!$C$1:$ND$1))," ")</f>
        <v>4691.95</v>
      </c>
      <c r="D22" s="14">
        <f>IF(A22&lt;&gt;"",INDEX('[1]01-数据'!$C$4:$ND$4,MATCH(A22,'[1]01-数据'!$C$1:$ND$1))," ")</f>
        <v>0.0451</v>
      </c>
      <c r="E22" s="8">
        <f>IF(A22&lt;&gt;"",INDEX('[1]01-数据'!$C$6:$ND$6,MATCH(A22,'[1]01-数据'!$C$1:$ND$1))," ")</f>
        <v>27794.03</v>
      </c>
      <c r="F22" s="14">
        <f>IF(A22&lt;&gt;"",INDEX('[1]01-数据'!$C$7:$ND$7,MATCH(A22,'[1]01-数据'!$C$1:$ND$1))," ")</f>
        <v>0.0267</v>
      </c>
      <c r="G22" s="8">
        <f>IF(A22&lt;&gt;"",INDEX('[1]01-数据'!$C$11:$ND$11,MATCH(A22,'[1]01-数据'!$C$1:$ND$1))," ")</f>
        <v>11.08</v>
      </c>
      <c r="H22" s="8">
        <f>IF(A22&lt;&gt;"",INDEX('[1]01-数据'!$C$14:$ND$14,MATCH(A22,'[1]01-数据'!$C$1:$ND$1))," ")</f>
        <v>8.85</v>
      </c>
    </row>
    <row r="23" spans="1:8">
      <c r="A23" s="27">
        <v>45402</v>
      </c>
      <c r="B23" s="8">
        <f>IF(A23&lt;&gt;"",INDEX('[1]01-数据'!$C$2:$ND$2,MATCH(A23,'[1]01-数据'!$C$1:$ND$1))," ")</f>
        <v>246.97</v>
      </c>
      <c r="C23" s="8">
        <f>IF(A23&lt;&gt;"",INDEX('[1]01-数据'!$C$3:$ND$3,MATCH(A23,'[1]01-数据'!$C$1:$ND$1))," ")</f>
        <v>4938.93</v>
      </c>
      <c r="D23" s="14">
        <f>IF(A23&lt;&gt;"",INDEX('[1]01-数据'!$C$4:$ND$4,MATCH(A23,'[1]01-数据'!$C$1:$ND$1))," ")</f>
        <v>0.0449</v>
      </c>
      <c r="E23" s="8">
        <f>IF(A23&lt;&gt;"",INDEX('[1]01-数据'!$C$6:$ND$6,MATCH(A23,'[1]01-数据'!$C$1:$ND$1))," ")</f>
        <v>28041</v>
      </c>
      <c r="F23" s="14">
        <f>IF(A23&lt;&gt;"",INDEX('[1]01-数据'!$C$7:$ND$7,MATCH(A23,'[1]01-数据'!$C$1:$ND$1))," ")</f>
        <v>0.0268</v>
      </c>
      <c r="G23" s="8">
        <f>IF(A23&lt;&gt;"",INDEX('[1]01-数据'!$C$11:$ND$11,MATCH(A23,'[1]01-数据'!$C$1:$ND$1))," ")</f>
        <v>10.62</v>
      </c>
      <c r="H23" s="8">
        <f>IF(A23&lt;&gt;"",INDEX('[1]01-数据'!$C$14:$ND$14,MATCH(A23,'[1]01-数据'!$C$1:$ND$1))," ")</f>
        <v>8.75</v>
      </c>
    </row>
    <row r="24" spans="1:8">
      <c r="A24" s="28">
        <v>45403</v>
      </c>
      <c r="B24" s="11">
        <f>IF(A24&lt;&gt;"",INDEX('[1]01-数据'!$C$2:$ND$2,MATCH(A24,'[1]01-数据'!$C$1:$ND$1))," ")</f>
        <v>254.04</v>
      </c>
      <c r="C24" s="11">
        <f>IF(A24&lt;&gt;"",INDEX('[1]01-数据'!$C$3:$ND$3,MATCH(A24,'[1]01-数据'!$C$1:$ND$1))," ")</f>
        <v>5192.97</v>
      </c>
      <c r="D24" s="15">
        <f>IF(A24&lt;&gt;"",INDEX('[1]01-数据'!$C$4:$ND$4,MATCH(A24,'[1]01-数据'!$C$1:$ND$1))," ")</f>
        <v>0.0475</v>
      </c>
      <c r="E24" s="11">
        <f>IF(A24&lt;&gt;"",INDEX('[1]01-数据'!$C$6:$ND$6,MATCH(A24,'[1]01-数据'!$C$1:$ND$1))," ")</f>
        <v>28295.04</v>
      </c>
      <c r="F24" s="15">
        <f>IF(A24&lt;&gt;"",INDEX('[1]01-数据'!$C$7:$ND$7,MATCH(A24,'[1]01-数据'!$C$1:$ND$1))," ")</f>
        <v>0.0275</v>
      </c>
      <c r="G24" s="11">
        <f>IF(A24&lt;&gt;"",INDEX('[1]01-数据'!$C$11:$ND$11,MATCH(A24,'[1]01-数据'!$C$1:$ND$1))," ")</f>
        <v>11.31</v>
      </c>
      <c r="H24" s="11">
        <f>IF(A24&lt;&gt;"",INDEX('[1]01-数据'!$C$14:$ND$14,MATCH(A24,'[1]01-数据'!$C$1:$ND$1))," ")</f>
        <v>8.62</v>
      </c>
    </row>
    <row r="25" spans="1:8">
      <c r="A25" s="28">
        <v>45404</v>
      </c>
      <c r="B25" s="11">
        <f>IF(A25&lt;&gt;"",INDEX('[1]01-数据'!$C$2:$ND$2,MATCH(A25,'[1]01-数据'!$C$1:$ND$1))," ")</f>
        <v>253.78</v>
      </c>
      <c r="C25" s="11">
        <f>IF(A25&lt;&gt;"",INDEX('[1]01-数据'!$C$3:$ND$3,MATCH(A25,'[1]01-数据'!$C$1:$ND$1))," ")</f>
        <v>5446.75</v>
      </c>
      <c r="D25" s="15">
        <f>IF(A25&lt;&gt;"",INDEX('[1]01-数据'!$C$4:$ND$4,MATCH(A25,'[1]01-数据'!$C$1:$ND$1))," ")</f>
        <v>0.0487</v>
      </c>
      <c r="E25" s="11">
        <f>IF(A25&lt;&gt;"",INDEX('[1]01-数据'!$C$6:$ND$6,MATCH(A25,'[1]01-数据'!$C$1:$ND$1))," ")</f>
        <v>28548.82</v>
      </c>
      <c r="F25" s="15">
        <f>IF(A25&lt;&gt;"",INDEX('[1]01-数据'!$C$7:$ND$7,MATCH(A25,'[1]01-数据'!$C$1:$ND$1))," ")</f>
        <v>0.0279</v>
      </c>
      <c r="G25" s="11">
        <f>IF(A25&lt;&gt;"",INDEX('[1]01-数据'!$C$11:$ND$11,MATCH(A25,'[1]01-数据'!$C$1:$ND$1))," ")</f>
        <v>11.14</v>
      </c>
      <c r="H25" s="11">
        <f>IF(A25&lt;&gt;"",INDEX('[1]01-数据'!$C$14:$ND$14,MATCH(A25,'[1]01-数据'!$C$1:$ND$1))," ")</f>
        <v>8.85</v>
      </c>
    </row>
    <row r="26" spans="1:8">
      <c r="A26" s="28">
        <v>45405</v>
      </c>
      <c r="B26" s="11">
        <f>IF(A26&lt;&gt;"",INDEX('[1]01-数据'!$C$2:$ND$2,MATCH(A26,'[1]01-数据'!$C$1:$ND$1))," ")</f>
        <v>255.5</v>
      </c>
      <c r="C26" s="11">
        <f>IF(A26&lt;&gt;"",INDEX('[1]01-数据'!$C$3:$ND$3,MATCH(A26,'[1]01-数据'!$C$1:$ND$1))," ")</f>
        <v>5702.24</v>
      </c>
      <c r="D26" s="15">
        <f>IF(A26&lt;&gt;"",INDEX('[1]01-数据'!$C$4:$ND$4,MATCH(A26,'[1]01-数据'!$C$1:$ND$1))," ")</f>
        <v>0.0498</v>
      </c>
      <c r="E26" s="11">
        <f>IF(A26&lt;&gt;"",INDEX('[1]01-数据'!$C$6:$ND$6,MATCH(A26,'[1]01-数据'!$C$1:$ND$1))," ")</f>
        <v>28804.32</v>
      </c>
      <c r="F26" s="15">
        <f>IF(A26&lt;&gt;"",INDEX('[1]01-数据'!$C$7:$ND$7,MATCH(A26,'[1]01-数据'!$C$1:$ND$1))," ")</f>
        <v>0.0282</v>
      </c>
      <c r="G26" s="11">
        <f>IF(A26&lt;&gt;"",INDEX('[1]01-数据'!$C$11:$ND$11,MATCH(A26,'[1]01-数据'!$C$1:$ND$1))," ")</f>
        <v>11.19</v>
      </c>
      <c r="H26" s="11">
        <f>IF(A26&lt;&gt;"",INDEX('[1]01-数据'!$C$14:$ND$14,MATCH(A26,'[1]01-数据'!$C$1:$ND$1))," ")</f>
        <v>8.84</v>
      </c>
    </row>
    <row r="27" spans="1:8">
      <c r="A27" s="28">
        <v>45406</v>
      </c>
      <c r="B27" s="11">
        <f>IF(A27&lt;&gt;"",INDEX('[1]01-数据'!$C$2:$ND$2,MATCH(A27,'[1]01-数据'!$C$1:$ND$1))," ")</f>
        <v>254.38</v>
      </c>
      <c r="C27" s="11">
        <f>IF(A27&lt;&gt;"",INDEX('[1]01-数据'!$C$3:$ND$3,MATCH(A27,'[1]01-数据'!$C$1:$ND$1))," ")</f>
        <v>5956.63</v>
      </c>
      <c r="D27" s="15">
        <f>IF(A27&lt;&gt;"",INDEX('[1]01-数据'!$C$4:$ND$4,MATCH(A27,'[1]01-数据'!$C$1:$ND$1))," ")</f>
        <v>0.0504</v>
      </c>
      <c r="E27" s="11">
        <f>IF(A27&lt;&gt;"",INDEX('[1]01-数据'!$C$6:$ND$6,MATCH(A27,'[1]01-数据'!$C$1:$ND$1))," ")</f>
        <v>29058.7</v>
      </c>
      <c r="F27" s="15">
        <f>IF(A27&lt;&gt;"",INDEX('[1]01-数据'!$C$7:$ND$7,MATCH(A27,'[1]01-数据'!$C$1:$ND$1))," ")</f>
        <v>0.0285</v>
      </c>
      <c r="G27" s="11">
        <f>IF(A27&lt;&gt;"",INDEX('[1]01-数据'!$C$11:$ND$11,MATCH(A27,'[1]01-数据'!$C$1:$ND$1))," ")</f>
        <v>11.24</v>
      </c>
      <c r="H27" s="11">
        <f>IF(A27&lt;&gt;"",INDEX('[1]01-数据'!$C$14:$ND$14,MATCH(A27,'[1]01-数据'!$C$1:$ND$1))," ")</f>
        <v>8.84</v>
      </c>
    </row>
    <row r="28" spans="1:8">
      <c r="A28" s="28">
        <v>45407</v>
      </c>
      <c r="B28" s="11">
        <f>IF(A28&lt;&gt;"",INDEX('[1]01-数据'!$C$2:$ND$2,MATCH(A28,'[1]01-数据'!$C$1:$ND$1))," ")</f>
        <v>250.31</v>
      </c>
      <c r="C28" s="11">
        <f>IF(A28&lt;&gt;"",INDEX('[1]01-数据'!$C$3:$ND$3,MATCH(A28,'[1]01-数据'!$C$1:$ND$1))," ")</f>
        <v>6206.94</v>
      </c>
      <c r="D28" s="15">
        <f>IF(A28&lt;&gt;"",INDEX('[1]01-数据'!$C$4:$ND$4,MATCH(A28,'[1]01-数据'!$C$1:$ND$1))," ")</f>
        <v>0.0502</v>
      </c>
      <c r="E28" s="11">
        <f>IF(A28&lt;&gt;"",INDEX('[1]01-数据'!$C$6:$ND$6,MATCH(A28,'[1]01-数据'!$C$1:$ND$1))," ")</f>
        <v>29309.02</v>
      </c>
      <c r="F28" s="15">
        <f>IF(A28&lt;&gt;"",INDEX('[1]01-数据'!$C$7:$ND$7,MATCH(A28,'[1]01-数据'!$C$1:$ND$1))," ")</f>
        <v>0.0287</v>
      </c>
      <c r="G28" s="11">
        <f>IF(A28&lt;&gt;"",INDEX('[1]01-数据'!$C$11:$ND$11,MATCH(A28,'[1]01-数据'!$C$1:$ND$1))," ")</f>
        <v>11.04</v>
      </c>
      <c r="H28" s="11">
        <f>IF(A28&lt;&gt;"",INDEX('[1]01-数据'!$C$14:$ND$14,MATCH(A28,'[1]01-数据'!$C$1:$ND$1))," ")</f>
        <v>8.74</v>
      </c>
    </row>
    <row r="29" spans="1:8">
      <c r="A29" s="27">
        <v>45408</v>
      </c>
      <c r="B29" s="8">
        <f>IF(A29&lt;&gt;"",INDEX('[1]01-数据'!$C$2:$ND$2,MATCH(A29,'[1]01-数据'!$C$1:$ND$1))," ")</f>
        <v>247.91</v>
      </c>
      <c r="C29" s="8">
        <f>IF(A29&lt;&gt;"",INDEX('[1]01-数据'!$C$3:$ND$3,MATCH(A29,'[1]01-数据'!$C$1:$ND$1))," ")</f>
        <v>6454.85</v>
      </c>
      <c r="D29" s="14">
        <f>IF(A29&lt;&gt;"",INDEX('[1]01-数据'!$C$4:$ND$4,MATCH(A29,'[1]01-数据'!$C$1:$ND$1))," ")</f>
        <v>0.0491</v>
      </c>
      <c r="E29" s="8">
        <f>IF(A29&lt;&gt;"",INDEX('[1]01-数据'!$C$6:$ND$6,MATCH(A29,'[1]01-数据'!$C$1:$ND$1))," ")</f>
        <v>29556.93</v>
      </c>
      <c r="F29" s="14">
        <f>IF(A29&lt;&gt;"",INDEX('[1]01-数据'!$C$7:$ND$7,MATCH(A29,'[1]01-数据'!$C$1:$ND$1))," ")</f>
        <v>0.0286</v>
      </c>
      <c r="G29" s="8">
        <f>IF(A29&lt;&gt;"",INDEX('[1]01-数据'!$C$11:$ND$11,MATCH(A29,'[1]01-数据'!$C$1:$ND$1))," ")</f>
        <v>10.88</v>
      </c>
      <c r="H29" s="8">
        <f>IF(A29&lt;&gt;"",INDEX('[1]01-数据'!$C$14:$ND$14,MATCH(A29,'[1]01-数据'!$C$1:$ND$1))," ")</f>
        <v>8.7</v>
      </c>
    </row>
    <row r="30" spans="1:8">
      <c r="A30" s="28">
        <v>45409</v>
      </c>
      <c r="B30" s="11">
        <f>IF(A30&lt;&gt;"",INDEX('[1]01-数据'!$C$2:$ND$2,MATCH(A30,'[1]01-数据'!$C$1:$ND$1))," ")</f>
        <v>248.09</v>
      </c>
      <c r="C30" s="11">
        <f>IF(A30&lt;&gt;"",INDEX('[1]01-数据'!$C$3:$ND$3,MATCH(A30,'[1]01-数据'!$C$1:$ND$1))," ")</f>
        <v>6702.94</v>
      </c>
      <c r="D30" s="15">
        <f>IF(A30&lt;&gt;"",INDEX('[1]01-数据'!$C$4:$ND$4,MATCH(A30,'[1]01-数据'!$C$1:$ND$1))," ")</f>
        <v>0.0483</v>
      </c>
      <c r="E30" s="11">
        <f>IF(A30&lt;&gt;"",INDEX('[1]01-数据'!$C$6:$ND$6,MATCH(A30,'[1]01-数据'!$C$1:$ND$1))," ")</f>
        <v>29805.01</v>
      </c>
      <c r="F30" s="15">
        <f>IF(A30&lt;&gt;"",INDEX('[1]01-数据'!$C$7:$ND$7,MATCH(A30,'[1]01-数据'!$C$1:$ND$1))," ")</f>
        <v>0.0286</v>
      </c>
      <c r="G30" s="11">
        <f>IF(A30&lt;&gt;"",INDEX('[1]01-数据'!$C$11:$ND$11,MATCH(A30,'[1]01-数据'!$C$1:$ND$1))," ")</f>
        <v>10.93</v>
      </c>
      <c r="H30" s="11">
        <f>IF(A30&lt;&gt;"",INDEX('[1]01-数据'!$C$14:$ND$14,MATCH(A30,'[1]01-数据'!$C$1:$ND$1))," ")</f>
        <v>8.61</v>
      </c>
    </row>
    <row r="31" spans="1:8">
      <c r="A31" s="28">
        <v>45410</v>
      </c>
      <c r="B31" s="11">
        <f>IF(A31&lt;&gt;"",INDEX('[1]01-数据'!$C$2:$ND$2,MATCH(A31,'[1]01-数据'!$C$1:$ND$1))," ")</f>
        <v>249.85</v>
      </c>
      <c r="C31" s="11">
        <f>IF(A31&lt;&gt;"",INDEX('[1]01-数据'!$C$3:$ND$3,MATCH(A31,'[1]01-数据'!$C$1:$ND$1))," ")</f>
        <v>6952.79</v>
      </c>
      <c r="D31" s="15">
        <f>IF(A31&lt;&gt;"",INDEX('[1]01-数据'!$C$4:$ND$4,MATCH(A31,'[1]01-数据'!$C$1:$ND$1))," ")</f>
        <v>0.0479</v>
      </c>
      <c r="E31" s="11">
        <f>IF(A31&lt;&gt;"",INDEX('[1]01-数据'!$C$6:$ND$6,MATCH(A31,'[1]01-数据'!$C$1:$ND$1))," ")</f>
        <v>30054.86</v>
      </c>
      <c r="F31" s="15">
        <f>IF(A31&lt;&gt;"",INDEX('[1]01-数据'!$C$7:$ND$7,MATCH(A31,'[1]01-数据'!$C$1:$ND$1))," ")</f>
        <v>0.0287</v>
      </c>
      <c r="G31" s="11">
        <f>IF(A31&lt;&gt;"",INDEX('[1]01-数据'!$C$11:$ND$11,MATCH(A31,'[1]01-数据'!$C$1:$ND$1))," ")</f>
        <v>11.02</v>
      </c>
      <c r="H31" s="11">
        <f>IF(A31&lt;&gt;"",INDEX('[1]01-数据'!$C$14:$ND$14,MATCH(A31,'[1]01-数据'!$C$1:$ND$1))," ")</f>
        <v>8.64</v>
      </c>
    </row>
    <row r="32" spans="1:8">
      <c r="A32" s="28">
        <v>45411</v>
      </c>
      <c r="B32" s="11">
        <f>IF(A32&lt;&gt;"",INDEX('[1]01-数据'!$C$2:$ND$2,MATCH(A32,'[1]01-数据'!$C$1:$ND$1))," ")</f>
        <v>250.78</v>
      </c>
      <c r="C32" s="11">
        <f>IF(A32&lt;&gt;"",INDEX('[1]01-数据'!$C$3:$ND$3,MATCH(A32,'[1]01-数据'!$C$1:$ND$1))," ")</f>
        <v>7203.57</v>
      </c>
      <c r="D32" s="15">
        <f>IF(A32&lt;&gt;"",INDEX('[1]01-数据'!$C$4:$ND$4,MATCH(A32,'[1]01-数据'!$C$1:$ND$1))," ")</f>
        <v>0.0475</v>
      </c>
      <c r="E32" s="11">
        <f>IF(A32&lt;&gt;"",INDEX('[1]01-数据'!$C$6:$ND$6,MATCH(A32,'[1]01-数据'!$C$1:$ND$1))," ")</f>
        <v>30305.64</v>
      </c>
      <c r="F32" s="15">
        <f>IF(A32&lt;&gt;"",INDEX('[1]01-数据'!$C$7:$ND$7,MATCH(A32,'[1]01-数据'!$C$1:$ND$1))," ")</f>
        <v>0.0288</v>
      </c>
      <c r="G32" s="11">
        <f>IF(A32&lt;&gt;"",INDEX('[1]01-数据'!$C$11:$ND$11,MATCH(A32,'[1]01-数据'!$C$1:$ND$1))," ")</f>
        <v>11.02</v>
      </c>
      <c r="H32" s="11">
        <f>IF(A32&lt;&gt;"",INDEX('[1]01-数据'!$C$14:$ND$14,MATCH(A32,'[1]01-数据'!$C$1:$ND$1))," ")</f>
        <v>8.7</v>
      </c>
    </row>
    <row r="33" spans="1:8">
      <c r="A33" s="28">
        <v>45412</v>
      </c>
      <c r="B33" s="11">
        <f>IF(A33&lt;&gt;"",INDEX('[1]01-数据'!$C$2:$ND$2,MATCH(A33,'[1]01-数据'!$C$1:$ND$1))," ")</f>
        <v>246.95</v>
      </c>
      <c r="C33" s="11">
        <f>IF(A33&lt;&gt;"",INDEX('[1]01-数据'!$C$3:$ND$3,MATCH(A33,'[1]01-数据'!$C$1:$ND$1))," ")</f>
        <v>7450.52</v>
      </c>
      <c r="D33" s="15">
        <f>IF(A33&lt;&gt;"",INDEX('[1]01-数据'!$C$4:$ND$4,MATCH(A33,'[1]01-数据'!$C$1:$ND$1))," ")</f>
        <v>0.0475</v>
      </c>
      <c r="E33" s="11">
        <f>IF(A33&lt;&gt;"",INDEX('[1]01-数据'!$C$6:$ND$6,MATCH(A33,'[1]01-数据'!$C$1:$ND$1))," ")</f>
        <v>30552.59</v>
      </c>
      <c r="F33" s="15">
        <f>IF(A33&lt;&gt;"",INDEX('[1]01-数据'!$C$7:$ND$7,MATCH(A33,'[1]01-数据'!$C$1:$ND$1))," ")</f>
        <v>0.0289</v>
      </c>
      <c r="G33" s="11">
        <f>IF(A33&lt;&gt;"",INDEX('[1]01-数据'!$C$11:$ND$11,MATCH(A33,'[1]01-数据'!$C$1:$ND$1))," ")</f>
        <v>10.98</v>
      </c>
      <c r="H33" s="11">
        <f>IF(A33&lt;&gt;"",INDEX('[1]01-数据'!$C$14:$ND$14,MATCH(A33,'[1]01-数据'!$C$1:$ND$1))," ")</f>
        <v>8.65</v>
      </c>
    </row>
    <row r="34" spans="1:8">
      <c r="A34" s="13" t="s">
        <v>9</v>
      </c>
      <c r="B34" s="13"/>
      <c r="C34" s="13"/>
      <c r="D34" s="13"/>
      <c r="E34" s="13"/>
      <c r="F34" s="13"/>
      <c r="G34" s="16"/>
      <c r="H34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workbookViewId="0">
      <selection activeCell="B32" sqref="B32:H34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15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27">
        <v>45413</v>
      </c>
      <c r="B4" s="8">
        <f>IF(A4&lt;&gt;"",INDEX('[1]01-数据'!$C$2:$ND$2,MATCH(A4,'[1]01-数据'!$C$1:$ND$1))," ")</f>
        <v>220.02</v>
      </c>
      <c r="C4" s="8">
        <f>IF(A4&lt;&gt;"",INDEX('[1]01-数据'!$C$3:$ND$3,MATCH(A4,'[1]01-数据'!$C$1:$ND$1))," ")</f>
        <v>220.02</v>
      </c>
      <c r="D4" s="9">
        <f>IF(A4&lt;&gt;"",INDEX('[1]01-数据'!$C$4:$ND$4,MATCH(A4,'[1]01-数据'!$C$1:$ND$1))," ")</f>
        <v>0.0572</v>
      </c>
      <c r="E4" s="8">
        <f>IF(A4&lt;&gt;"",INDEX('[1]01-数据'!$C$6:$ND$6,MATCH(A4,'[1]01-数据'!$C$1:$ND$1))," ")</f>
        <v>30772.61</v>
      </c>
      <c r="F4" s="14">
        <f>IF(A4&lt;&gt;"",INDEX('[1]01-数据'!$C$7:$ND$7,MATCH(A4,'[1]01-数据'!$C$1:$ND$1))," ")</f>
        <v>0.0291</v>
      </c>
      <c r="G4" s="8">
        <f>IF(A4&lt;&gt;"",INDEX('[1]01-数据'!$C$11:$ND$11,MATCH(A4,'[1]01-数据'!$C$1:$ND$1))," ")</f>
        <v>9.35</v>
      </c>
      <c r="H4" s="8">
        <f>IF(A4&lt;&gt;"",INDEX('[1]01-数据'!$C$14:$ND$14,MATCH(A4,'[1]01-数据'!$C$1:$ND$1))," ")</f>
        <v>8.19</v>
      </c>
    </row>
    <row r="5" spans="1:8">
      <c r="A5" s="27">
        <v>45414</v>
      </c>
      <c r="B5" s="8">
        <f>IF(A5&lt;&gt;"",INDEX('[1]01-数据'!$C$2:$ND$2,MATCH(A5,'[1]01-数据'!$C$1:$ND$1))," ")</f>
        <v>220.75</v>
      </c>
      <c r="C5" s="8">
        <f>IF(A5&lt;&gt;"",INDEX('[1]01-数据'!$C$3:$ND$3,MATCH(A5,'[1]01-数据'!$C$1:$ND$1))," ")</f>
        <v>440.77</v>
      </c>
      <c r="D5" s="9">
        <f>IF(A5&lt;&gt;"",INDEX('[1]01-数据'!$C$4:$ND$4,MATCH(A5,'[1]01-数据'!$C$1:$ND$1))," ")</f>
        <v>0.055</v>
      </c>
      <c r="E5" s="8">
        <f>IF(A5&lt;&gt;"",INDEX('[1]01-数据'!$C$6:$ND$6,MATCH(A5,'[1]01-数据'!$C$1:$ND$1))," ")</f>
        <v>30993.36</v>
      </c>
      <c r="F5" s="14">
        <f>IF(A5&lt;&gt;"",INDEX('[1]01-数据'!$C$7:$ND$7,MATCH(A5,'[1]01-数据'!$C$1:$ND$1))," ")</f>
        <v>0.0293</v>
      </c>
      <c r="G5" s="8">
        <f>IF(A5&lt;&gt;"",INDEX('[1]01-数据'!$C$11:$ND$11,MATCH(A5,'[1]01-数据'!$C$1:$ND$1))," ")</f>
        <v>9.63</v>
      </c>
      <c r="H5" s="8">
        <f>IF(A5&lt;&gt;"",INDEX('[1]01-数据'!$C$14:$ND$14,MATCH(A5,'[1]01-数据'!$C$1:$ND$1))," ")</f>
        <v>7.61</v>
      </c>
    </row>
    <row r="6" spans="1:8">
      <c r="A6" s="27">
        <v>45415</v>
      </c>
      <c r="B6" s="8">
        <f>IF(A6&lt;&gt;"",INDEX('[1]01-数据'!$C$2:$ND$2,MATCH(A6,'[1]01-数据'!$C$1:$ND$1))," ")</f>
        <v>229.98</v>
      </c>
      <c r="C6" s="8">
        <f>IF(A6&lt;&gt;"",INDEX('[1]01-数据'!$C$3:$ND$3,MATCH(A6,'[1]01-数据'!$C$1:$ND$1))," ")</f>
        <v>670.75</v>
      </c>
      <c r="D6" s="9">
        <f>IF(A6&lt;&gt;"",INDEX('[1]01-数据'!$C$4:$ND$4,MATCH(A6,'[1]01-数据'!$C$1:$ND$1))," ")</f>
        <v>0.0516</v>
      </c>
      <c r="E6" s="8">
        <f>IF(A6&lt;&gt;"",INDEX('[1]01-数据'!$C$6:$ND$6,MATCH(A6,'[1]01-数据'!$C$1:$ND$1))," ")</f>
        <v>31223.34</v>
      </c>
      <c r="F6" s="14">
        <f>IF(A6&lt;&gt;"",INDEX('[1]01-数据'!$C$7:$ND$7,MATCH(A6,'[1]01-数据'!$C$1:$ND$1))," ")</f>
        <v>0.0294</v>
      </c>
      <c r="G6" s="8">
        <f>IF(A6&lt;&gt;"",INDEX('[1]01-数据'!$C$11:$ND$11,MATCH(A6,'[1]01-数据'!$C$1:$ND$1))," ")</f>
        <v>9.96</v>
      </c>
      <c r="H6" s="8">
        <f>IF(A6&lt;&gt;"",INDEX('[1]01-数据'!$C$14:$ND$14,MATCH(A6,'[1]01-数据'!$C$1:$ND$1))," ")</f>
        <v>7.91</v>
      </c>
    </row>
    <row r="7" spans="1:8">
      <c r="A7" s="27">
        <v>45416</v>
      </c>
      <c r="B7" s="8">
        <f>IF(A7&lt;&gt;"",INDEX('[1]01-数据'!$C$2:$ND$2,MATCH(A7,'[1]01-数据'!$C$1:$ND$1))," ")</f>
        <v>237.98</v>
      </c>
      <c r="C7" s="8">
        <f>IF(A7&lt;&gt;"",INDEX('[1]01-数据'!$C$3:$ND$3,MATCH(A7,'[1]01-数据'!$C$1:$ND$1))," ")</f>
        <v>908.73</v>
      </c>
      <c r="D7" s="9">
        <f>IF(A7&lt;&gt;"",INDEX('[1]01-数据'!$C$4:$ND$4,MATCH(A7,'[1]01-数据'!$C$1:$ND$1))," ")</f>
        <v>0.0521</v>
      </c>
      <c r="E7" s="8">
        <f>IF(A7&lt;&gt;"",INDEX('[1]01-数据'!$C$6:$ND$6,MATCH(A7,'[1]01-数据'!$C$1:$ND$1))," ")</f>
        <v>31461.32</v>
      </c>
      <c r="F7" s="14">
        <f>IF(A7&lt;&gt;"",INDEX('[1]01-数据'!$C$7:$ND$7,MATCH(A7,'[1]01-数据'!$C$1:$ND$1))," ")</f>
        <v>0.0296</v>
      </c>
      <c r="G7" s="8">
        <f>IF(A7&lt;&gt;"",INDEX('[1]01-数据'!$C$11:$ND$11,MATCH(A7,'[1]01-数据'!$C$1:$ND$1))," ")</f>
        <v>10.39</v>
      </c>
      <c r="H7" s="8">
        <f>IF(A7&lt;&gt;"",INDEX('[1]01-数据'!$C$14:$ND$14,MATCH(A7,'[1]01-数据'!$C$1:$ND$1))," ")</f>
        <v>8.26</v>
      </c>
    </row>
    <row r="8" spans="1:8">
      <c r="A8" s="27">
        <v>45417</v>
      </c>
      <c r="B8" s="8">
        <f>IF(A8&lt;&gt;"",INDEX('[1]01-数据'!$C$2:$ND$2,MATCH(A8,'[1]01-数据'!$C$1:$ND$1))," ")</f>
        <v>245.59</v>
      </c>
      <c r="C8" s="8">
        <f>IF(A8&lt;&gt;"",INDEX('[1]01-数据'!$C$3:$ND$3,MATCH(A8,'[1]01-数据'!$C$1:$ND$1))," ")</f>
        <v>1154.31</v>
      </c>
      <c r="D8" s="9">
        <f>IF(A8&lt;&gt;"",INDEX('[1]01-数据'!$C$4:$ND$4,MATCH(A8,'[1]01-数据'!$C$1:$ND$1))," ")</f>
        <v>0.0552</v>
      </c>
      <c r="E8" s="8">
        <f>IF(A8&lt;&gt;"",INDEX('[1]01-数据'!$C$6:$ND$6,MATCH(A8,'[1]01-数据'!$C$1:$ND$1))," ")</f>
        <v>31706.91</v>
      </c>
      <c r="F8" s="14">
        <f>IF(A8&lt;&gt;"",INDEX('[1]01-数据'!$C$7:$ND$7,MATCH(A8,'[1]01-数据'!$C$1:$ND$1))," ")</f>
        <v>0.0298</v>
      </c>
      <c r="G8" s="8">
        <f>IF(A8&lt;&gt;"",INDEX('[1]01-数据'!$C$11:$ND$11,MATCH(A8,'[1]01-数据'!$C$1:$ND$1))," ")</f>
        <v>10.79</v>
      </c>
      <c r="H8" s="8">
        <f>IF(A8&lt;&gt;"",INDEX('[1]01-数据'!$C$14:$ND$14,MATCH(A8,'[1]01-数据'!$C$1:$ND$1))," ")</f>
        <v>8.45</v>
      </c>
    </row>
    <row r="9" spans="1:8">
      <c r="A9" s="28">
        <v>45418</v>
      </c>
      <c r="B9" s="11">
        <f>IF(A9&lt;&gt;"",INDEX('[1]01-数据'!$C$2:$ND$2,MATCH(A9,'[1]01-数据'!$C$1:$ND$1))," ")</f>
        <v>251.94</v>
      </c>
      <c r="C9" s="11">
        <f>IF(A9&lt;&gt;"",INDEX('[1]01-数据'!$C$3:$ND$3,MATCH(A9,'[1]01-数据'!$C$1:$ND$1))," ")</f>
        <v>1406.25</v>
      </c>
      <c r="D9" s="12">
        <f>IF(A9&lt;&gt;"",INDEX('[1]01-数据'!$C$4:$ND$4,MATCH(A9,'[1]01-数据'!$C$1:$ND$1))," ")</f>
        <v>0.0557</v>
      </c>
      <c r="E9" s="11">
        <f>IF(A9&lt;&gt;"",INDEX('[1]01-数据'!$C$6:$ND$6,MATCH(A9,'[1]01-数据'!$C$1:$ND$1))," ")</f>
        <v>31958.84</v>
      </c>
      <c r="F9" s="15">
        <f>IF(A9&lt;&gt;"",INDEX('[1]01-数据'!$C$7:$ND$7,MATCH(A9,'[1]01-数据'!$C$1:$ND$1))," ")</f>
        <v>0.0301</v>
      </c>
      <c r="G9" s="11">
        <f>IF(A9&lt;&gt;"",INDEX('[1]01-数据'!$C$11:$ND$11,MATCH(A9,'[1]01-数据'!$C$1:$ND$1))," ")</f>
        <v>11.12</v>
      </c>
      <c r="H9" s="11">
        <f>IF(A9&lt;&gt;"",INDEX('[1]01-数据'!$C$14:$ND$14,MATCH(A9,'[1]01-数据'!$C$1:$ND$1))," ")</f>
        <v>8.65</v>
      </c>
    </row>
    <row r="10" spans="1:8">
      <c r="A10" s="28">
        <v>45419</v>
      </c>
      <c r="B10" s="11">
        <f>IF(A10&lt;&gt;"",INDEX('[1]01-数据'!$C$2:$ND$2,MATCH(A10,'[1]01-数据'!$C$1:$ND$1))," ")</f>
        <v>252.89</v>
      </c>
      <c r="C10" s="11">
        <f>IF(A10&lt;&gt;"",INDEX('[1]01-数据'!$C$3:$ND$3,MATCH(A10,'[1]01-数据'!$C$1:$ND$1))," ")</f>
        <v>1659.14</v>
      </c>
      <c r="D10" s="12">
        <f>IF(A10&lt;&gt;"",INDEX('[1]01-数据'!$C$4:$ND$4,MATCH(A10,'[1]01-数据'!$C$1:$ND$1))," ")</f>
        <v>0.0549</v>
      </c>
      <c r="E10" s="11">
        <f>IF(A10&lt;&gt;"",INDEX('[1]01-数据'!$C$6:$ND$6,MATCH(A10,'[1]01-数据'!$C$1:$ND$1))," ")</f>
        <v>32211.73</v>
      </c>
      <c r="F10" s="15">
        <f>IF(A10&lt;&gt;"",INDEX('[1]01-数据'!$C$7:$ND$7,MATCH(A10,'[1]01-数据'!$C$1:$ND$1))," ")</f>
        <v>0.0302</v>
      </c>
      <c r="G10" s="11">
        <f>IF(A10&lt;&gt;"",INDEX('[1]01-数据'!$C$11:$ND$11,MATCH(A10,'[1]01-数据'!$C$1:$ND$1))," ")</f>
        <v>11.14</v>
      </c>
      <c r="H10" s="11">
        <f>IF(A10&lt;&gt;"",INDEX('[1]01-数据'!$C$14:$ND$14,MATCH(A10,'[1]01-数据'!$C$1:$ND$1))," ")</f>
        <v>8.79</v>
      </c>
    </row>
    <row r="11" spans="1:8">
      <c r="A11" s="28">
        <v>45420</v>
      </c>
      <c r="B11" s="11">
        <f>IF(A11&lt;&gt;"",INDEX('[1]01-数据'!$C$2:$ND$2,MATCH(A11,'[1]01-数据'!$C$1:$ND$1))," ")</f>
        <v>253.91</v>
      </c>
      <c r="C11" s="11">
        <f>IF(A11&lt;&gt;"",INDEX('[1]01-数据'!$C$3:$ND$3,MATCH(A11,'[1]01-数据'!$C$1:$ND$1))," ")</f>
        <v>1913.05</v>
      </c>
      <c r="D11" s="12">
        <f>IF(A11&lt;&gt;"",INDEX('[1]01-数据'!$C$4:$ND$4,MATCH(A11,'[1]01-数据'!$C$1:$ND$1))," ")</f>
        <v>0.0545</v>
      </c>
      <c r="E11" s="11">
        <f>IF(A11&lt;&gt;"",INDEX('[1]01-数据'!$C$6:$ND$6,MATCH(A11,'[1]01-数据'!$C$1:$ND$1))," ")</f>
        <v>32465.64</v>
      </c>
      <c r="F11" s="15">
        <f>IF(A11&lt;&gt;"",INDEX('[1]01-数据'!$C$7:$ND$7,MATCH(A11,'[1]01-数据'!$C$1:$ND$1))," ")</f>
        <v>0.0304</v>
      </c>
      <c r="G11" s="11">
        <f>IF(A11&lt;&gt;"",INDEX('[1]01-数据'!$C$11:$ND$11,MATCH(A11,'[1]01-数据'!$C$1:$ND$1))," ")</f>
        <v>11.23</v>
      </c>
      <c r="H11" s="11">
        <f>IF(A11&lt;&gt;"",INDEX('[1]01-数据'!$C$14:$ND$14,MATCH(A11,'[1]01-数据'!$C$1:$ND$1))," ")</f>
        <v>8.82</v>
      </c>
    </row>
    <row r="12" spans="1:8">
      <c r="A12" s="28">
        <v>45421</v>
      </c>
      <c r="B12" s="11">
        <f>IF(A12&lt;&gt;"",INDEX('[1]01-数据'!$C$2:$ND$2,MATCH(A12,'[1]01-数据'!$C$1:$ND$1))," ")</f>
        <v>251.6</v>
      </c>
      <c r="C12" s="11">
        <f>IF(A12&lt;&gt;"",INDEX('[1]01-数据'!$C$3:$ND$3,MATCH(A12,'[1]01-数据'!$C$1:$ND$1))," ")</f>
        <v>2164.65</v>
      </c>
      <c r="D12" s="12">
        <f>IF(A12&lt;&gt;"",INDEX('[1]01-数据'!$C$4:$ND$4,MATCH(A12,'[1]01-数据'!$C$1:$ND$1))," ")</f>
        <v>0.0537</v>
      </c>
      <c r="E12" s="11">
        <f>IF(A12&lt;&gt;"",INDEX('[1]01-数据'!$C$6:$ND$6,MATCH(A12,'[1]01-数据'!$C$1:$ND$1))," ")</f>
        <v>32717.25</v>
      </c>
      <c r="F12" s="15">
        <f>IF(A12&lt;&gt;"",INDEX('[1]01-数据'!$C$7:$ND$7,MATCH(A12,'[1]01-数据'!$C$1:$ND$1))," ")</f>
        <v>0.0305</v>
      </c>
      <c r="G12" s="11">
        <f>IF(A12&lt;&gt;"",INDEX('[1]01-数据'!$C$11:$ND$11,MATCH(A12,'[1]01-数据'!$C$1:$ND$1))," ")</f>
        <v>11.12</v>
      </c>
      <c r="H12" s="11">
        <f>IF(A12&lt;&gt;"",INDEX('[1]01-数据'!$C$14:$ND$14,MATCH(A12,'[1]01-数据'!$C$1:$ND$1))," ")</f>
        <v>8.8</v>
      </c>
    </row>
    <row r="13" spans="1:11">
      <c r="A13" s="27">
        <v>45422</v>
      </c>
      <c r="B13" s="8">
        <f>IF(A13&lt;&gt;"",INDEX('[1]01-数据'!$C$2:$ND$2,MATCH(A13,'[1]01-数据'!$C$1:$ND$1))," ")</f>
        <v>247.06</v>
      </c>
      <c r="C13" s="8">
        <f>IF(A13&lt;&gt;"",INDEX('[1]01-数据'!$C$3:$ND$3,MATCH(A13,'[1]01-数据'!$C$1:$ND$1))," ")</f>
        <v>2411.71</v>
      </c>
      <c r="D13" s="9">
        <f>IF(A13&lt;&gt;"",INDEX('[1]01-数据'!$C$4:$ND$4,MATCH(A13,'[1]01-数据'!$C$1:$ND$1))," ")</f>
        <v>0.0505</v>
      </c>
      <c r="E13" s="8">
        <f>IF(A13&lt;&gt;"",INDEX('[1]01-数据'!$C$6:$ND$6,MATCH(A13,'[1]01-数据'!$C$1:$ND$1))," ")</f>
        <v>32964.31</v>
      </c>
      <c r="F13" s="14">
        <f>IF(A13&lt;&gt;"",INDEX('[1]01-数据'!$C$7:$ND$7,MATCH(A13,'[1]01-数据'!$C$1:$ND$1))," ")</f>
        <v>0.0305</v>
      </c>
      <c r="G13" s="8">
        <f>IF(A13&lt;&gt;"",INDEX('[1]01-数据'!$C$11:$ND$11,MATCH(A13,'[1]01-数据'!$C$1:$ND$1))," ")</f>
        <v>10.83</v>
      </c>
      <c r="H13" s="8">
        <f>IF(A13&lt;&gt;"",INDEX('[1]01-数据'!$C$14:$ND$14,MATCH(A13,'[1]01-数据'!$C$1:$ND$1))," ")</f>
        <v>8.75</v>
      </c>
      <c r="K13" s="17"/>
    </row>
    <row r="14" spans="1:11">
      <c r="A14" s="27">
        <v>45423</v>
      </c>
      <c r="B14" s="8">
        <f>IF(A14&lt;&gt;"",INDEX('[1]01-数据'!$C$2:$ND$2,MATCH(A14,'[1]01-数据'!$C$1:$ND$1))," ")</f>
        <v>237.96</v>
      </c>
      <c r="C14" s="8">
        <f>IF(A14&lt;&gt;"",INDEX('[1]01-数据'!$C$3:$ND$3,MATCH(A14,'[1]01-数据'!$C$1:$ND$1))," ")</f>
        <v>2649.67</v>
      </c>
      <c r="D14" s="9">
        <f>IF(A14&lt;&gt;"",INDEX('[1]01-数据'!$C$4:$ND$4,MATCH(A14,'[1]01-数据'!$C$1:$ND$1))," ")</f>
        <v>0.0443</v>
      </c>
      <c r="E14" s="8">
        <f>IF(A14&lt;&gt;"",INDEX('[1]01-数据'!$C$6:$ND$6,MATCH(A14,'[1]01-数据'!$C$1:$ND$1))," ")</f>
        <v>33202.27</v>
      </c>
      <c r="F14" s="14">
        <f>IF(A14&lt;&gt;"",INDEX('[1]01-数据'!$C$7:$ND$7,MATCH(A14,'[1]01-数据'!$C$1:$ND$1))," ")</f>
        <v>0.0301</v>
      </c>
      <c r="G14" s="8">
        <f>IF(A14&lt;&gt;"",INDEX('[1]01-数据'!$C$11:$ND$11,MATCH(A14,'[1]01-数据'!$C$1:$ND$1))," ")</f>
        <v>10.26</v>
      </c>
      <c r="H14" s="8">
        <f>IF(A14&lt;&gt;"",INDEX('[1]01-数据'!$C$14:$ND$14,MATCH(A14,'[1]01-数据'!$C$1:$ND$1))," ")</f>
        <v>8.54</v>
      </c>
      <c r="K14" s="17"/>
    </row>
    <row r="15" spans="1:11">
      <c r="A15" s="28">
        <v>45424</v>
      </c>
      <c r="B15" s="11">
        <f>IF(A15&lt;&gt;"",INDEX('[1]01-数据'!$C$2:$ND$2,MATCH(A15,'[1]01-数据'!$C$1:$ND$1))," ")</f>
        <v>246.24</v>
      </c>
      <c r="C15" s="11">
        <f>IF(A15&lt;&gt;"",INDEX('[1]01-数据'!$C$3:$ND$3,MATCH(A15,'[1]01-数据'!$C$1:$ND$1))," ")</f>
        <v>2895.92</v>
      </c>
      <c r="D15" s="12">
        <f>IF(A15&lt;&gt;"",INDEX('[1]01-数据'!$C$4:$ND$4,MATCH(A15,'[1]01-数据'!$C$1:$ND$1))," ")</f>
        <v>0.0446</v>
      </c>
      <c r="E15" s="11">
        <f>IF(A15&lt;&gt;"",INDEX('[1]01-数据'!$C$6:$ND$6,MATCH(A15,'[1]01-数据'!$C$1:$ND$1))," ")</f>
        <v>33448.51</v>
      </c>
      <c r="F15" s="15">
        <f>IF(A15&lt;&gt;"",INDEX('[1]01-数据'!$C$7:$ND$7,MATCH(A15,'[1]01-数据'!$C$1:$ND$1))," ")</f>
        <v>0.0303</v>
      </c>
      <c r="G15" s="11">
        <f>IF(A15&lt;&gt;"",INDEX('[1]01-数据'!$C$11:$ND$11,MATCH(A15,'[1]01-数据'!$C$1:$ND$1))," ")</f>
        <v>10.87</v>
      </c>
      <c r="H15" s="11">
        <f>IF(A15&lt;&gt;"",INDEX('[1]01-数据'!$C$14:$ND$14,MATCH(A15,'[1]01-数据'!$C$1:$ND$1))," ")</f>
        <v>8.46</v>
      </c>
      <c r="K15" s="17"/>
    </row>
    <row r="16" spans="1:8">
      <c r="A16" s="28">
        <v>45425</v>
      </c>
      <c r="B16" s="11">
        <f>IF(A16&lt;&gt;"",INDEX('[1]01-数据'!$C$2:$ND$2,MATCH(A16,'[1]01-数据'!$C$1:$ND$1))," ")</f>
        <v>251.74</v>
      </c>
      <c r="C16" s="11">
        <f>IF(A16&lt;&gt;"",INDEX('[1]01-数据'!$C$3:$ND$3,MATCH(A16,'[1]01-数据'!$C$1:$ND$1))," ")</f>
        <v>3147.66</v>
      </c>
      <c r="D16" s="12">
        <f>IF(A16&lt;&gt;"",INDEX('[1]01-数据'!$C$4:$ND$4,MATCH(A16,'[1]01-数据'!$C$1:$ND$1))," ")</f>
        <v>0.0451</v>
      </c>
      <c r="E16" s="11">
        <f>IF(A16&lt;&gt;"",INDEX('[1]01-数据'!$C$6:$ND$6,MATCH(A16,'[1]01-数据'!$C$1:$ND$1))," ")</f>
        <v>33700.25</v>
      </c>
      <c r="F16" s="15">
        <f>IF(A16&lt;&gt;"",INDEX('[1]01-数据'!$C$7:$ND$7,MATCH(A16,'[1]01-数据'!$C$1:$ND$1))," ")</f>
        <v>0.0304</v>
      </c>
      <c r="G16" s="11">
        <f>IF(A16&lt;&gt;"",INDEX('[1]01-数据'!$C$11:$ND$11,MATCH(A16,'[1]01-数据'!$C$1:$ND$1))," ")</f>
        <v>11.06</v>
      </c>
      <c r="H16" s="11">
        <f>IF(A16&lt;&gt;"",INDEX('[1]01-数据'!$C$14:$ND$14,MATCH(A16,'[1]01-数据'!$C$1:$ND$1))," ")</f>
        <v>8.73</v>
      </c>
    </row>
    <row r="17" spans="1:8">
      <c r="A17" s="28">
        <v>45426</v>
      </c>
      <c r="B17" s="11">
        <f>IF(A17&lt;&gt;"",INDEX('[1]01-数据'!$C$2:$ND$2,MATCH(A17,'[1]01-数据'!$C$1:$ND$1))," ")</f>
        <v>257.77</v>
      </c>
      <c r="C17" s="11">
        <f>IF(A17&lt;&gt;"",INDEX('[1]01-数据'!$C$3:$ND$3,MATCH(A17,'[1]01-数据'!$C$1:$ND$1))," ")</f>
        <v>3405.43</v>
      </c>
      <c r="D17" s="12">
        <f>IF(A17&lt;&gt;"",INDEX('[1]01-数据'!$C$4:$ND$4,MATCH(A17,'[1]01-数据'!$C$1:$ND$1))," ")</f>
        <v>0.0464</v>
      </c>
      <c r="E17" s="11">
        <f>IF(A17&lt;&gt;"",INDEX('[1]01-数据'!$C$6:$ND$6,MATCH(A17,'[1]01-数据'!$C$1:$ND$1))," ")</f>
        <v>33958.03</v>
      </c>
      <c r="F17" s="15">
        <f>IF(A17&lt;&gt;"",INDEX('[1]01-数据'!$C$7:$ND$7,MATCH(A17,'[1]01-数据'!$C$1:$ND$1))," ")</f>
        <v>0.0306</v>
      </c>
      <c r="G17" s="11">
        <f>IF(A17&lt;&gt;"",INDEX('[1]01-数据'!$C$11:$ND$11,MATCH(A17,'[1]01-数据'!$C$1:$ND$1))," ")</f>
        <v>11.37</v>
      </c>
      <c r="H17" s="11">
        <f>IF(A17&lt;&gt;"",INDEX('[1]01-数据'!$C$14:$ND$14,MATCH(A17,'[1]01-数据'!$C$1:$ND$1))," ")</f>
        <v>8.93</v>
      </c>
    </row>
    <row r="18" spans="1:8">
      <c r="A18" s="28">
        <v>45427</v>
      </c>
      <c r="B18" s="11">
        <f>IF(A18&lt;&gt;"",INDEX('[1]01-数据'!$C$2:$ND$2,MATCH(A18,'[1]01-数据'!$C$1:$ND$1))," ")</f>
        <v>259.09</v>
      </c>
      <c r="C18" s="11">
        <f>IF(A18&lt;&gt;"",INDEX('[1]01-数据'!$C$3:$ND$3,MATCH(A18,'[1]01-数据'!$C$1:$ND$1))," ")</f>
        <v>3664.52</v>
      </c>
      <c r="D18" s="12">
        <f>IF(A18&lt;&gt;"",INDEX('[1]01-数据'!$C$4:$ND$4,MATCH(A18,'[1]01-数据'!$C$1:$ND$1))," ")</f>
        <v>0.0481</v>
      </c>
      <c r="E18" s="11">
        <f>IF(A18&lt;&gt;"",INDEX('[1]01-数据'!$C$6:$ND$6,MATCH(A18,'[1]01-数据'!$C$1:$ND$1))," ")</f>
        <v>34217.11</v>
      </c>
      <c r="F18" s="15">
        <f>IF(A18&lt;&gt;"",INDEX('[1]01-数据'!$C$7:$ND$7,MATCH(A18,'[1]01-数据'!$C$1:$ND$1))," ")</f>
        <v>0.0309</v>
      </c>
      <c r="G18" s="11">
        <f>IF(A18&lt;&gt;"",INDEX('[1]01-数据'!$C$11:$ND$11,MATCH(A18,'[1]01-数据'!$C$1:$ND$1))," ")</f>
        <v>11.45</v>
      </c>
      <c r="H18" s="11">
        <f>IF(A18&lt;&gt;"",INDEX('[1]01-数据'!$C$14:$ND$14,MATCH(A18,'[1]01-数据'!$C$1:$ND$1))," ")</f>
        <v>8.99</v>
      </c>
    </row>
    <row r="19" spans="1:8">
      <c r="A19" s="28">
        <v>45428</v>
      </c>
      <c r="B19" s="11">
        <f>IF(A19&lt;&gt;"",INDEX('[1]01-数据'!$C$2:$ND$2,MATCH(A19,'[1]01-数据'!$C$1:$ND$1))," ")</f>
        <v>259.78</v>
      </c>
      <c r="C19" s="11">
        <f>IF(A19&lt;&gt;"",INDEX('[1]01-数据'!$C$3:$ND$3,MATCH(A19,'[1]01-数据'!$C$1:$ND$1))," ")</f>
        <v>3924.3</v>
      </c>
      <c r="D19" s="12">
        <f>IF(A19&lt;&gt;"",INDEX('[1]01-数据'!$C$4:$ND$4,MATCH(A19,'[1]01-数据'!$C$1:$ND$1))," ")</f>
        <v>0.0495</v>
      </c>
      <c r="E19" s="11">
        <f>IF(A19&lt;&gt;"",INDEX('[1]01-数据'!$C$6:$ND$6,MATCH(A19,'[1]01-数据'!$C$1:$ND$1))," ")</f>
        <v>34476.89</v>
      </c>
      <c r="F19" s="15">
        <f>IF(A19&lt;&gt;"",INDEX('[1]01-数据'!$C$7:$ND$7,MATCH(A19,'[1]01-数据'!$C$1:$ND$1))," ")</f>
        <v>0.0312</v>
      </c>
      <c r="G19" s="11">
        <f>IF(A19&lt;&gt;"",INDEX('[1]01-数据'!$C$11:$ND$11,MATCH(A19,'[1]01-数据'!$C$1:$ND$1))," ")</f>
        <v>11.47</v>
      </c>
      <c r="H19" s="11">
        <f>IF(A19&lt;&gt;"",INDEX('[1]01-数据'!$C$14:$ND$14,MATCH(A19,'[1]01-数据'!$C$1:$ND$1))," ")</f>
        <v>8.99</v>
      </c>
    </row>
    <row r="20" spans="1:8">
      <c r="A20" s="27">
        <v>45429</v>
      </c>
      <c r="B20" s="8">
        <f>IF(A20&lt;&gt;"",INDEX('[1]01-数据'!$C$2:$ND$2,MATCH(A20,'[1]01-数据'!$C$1:$ND$1))," ")</f>
        <v>257.09</v>
      </c>
      <c r="C20" s="8">
        <f>IF(A20&lt;&gt;"",INDEX('[1]01-数据'!$C$3:$ND$3,MATCH(A20,'[1]01-数据'!$C$1:$ND$1))," ")</f>
        <v>4181.39</v>
      </c>
      <c r="D20" s="9">
        <f>IF(A20&lt;&gt;"",INDEX('[1]01-数据'!$C$4:$ND$4,MATCH(A20,'[1]01-数据'!$C$1:$ND$1))," ")</f>
        <v>0.0487</v>
      </c>
      <c r="E20" s="8">
        <f>IF(A20&lt;&gt;"",INDEX('[1]01-数据'!$C$6:$ND$6,MATCH(A20,'[1]01-数据'!$C$1:$ND$1))," ")</f>
        <v>34733.98</v>
      </c>
      <c r="F20" s="14">
        <f>IF(A20&lt;&gt;"",INDEX('[1]01-数据'!$C$7:$ND$7,MATCH(A20,'[1]01-数据'!$C$1:$ND$1))," ")</f>
        <v>0.0312</v>
      </c>
      <c r="G20" s="8">
        <f>IF(A20&lt;&gt;"",INDEX('[1]01-数据'!$C$11:$ND$11,MATCH(A20,'[1]01-数据'!$C$1:$ND$1))," ")</f>
        <v>11.3</v>
      </c>
      <c r="H20" s="8">
        <f>IF(A20&lt;&gt;"",INDEX('[1]01-数据'!$C$14:$ND$14,MATCH(A20,'[1]01-数据'!$C$1:$ND$1))," ")</f>
        <v>9.02</v>
      </c>
    </row>
    <row r="21" spans="1:8">
      <c r="A21" s="27">
        <v>45430</v>
      </c>
      <c r="B21" s="8">
        <f>IF(A21&lt;&gt;"",INDEX('[1]01-数据'!$C$2:$ND$2,MATCH(A21,'[1]01-数据'!$C$1:$ND$1))," ")</f>
        <v>248.68</v>
      </c>
      <c r="C21" s="8">
        <f>IF(A21&lt;&gt;"",INDEX('[1]01-数据'!$C$3:$ND$3,MATCH(A21,'[1]01-数据'!$C$1:$ND$1))," ")</f>
        <v>4430.07</v>
      </c>
      <c r="D21" s="9">
        <f>IF(A21&lt;&gt;"",INDEX('[1]01-数据'!$C$4:$ND$4,MATCH(A21,'[1]01-数据'!$C$1:$ND$1))," ")</f>
        <v>0.046</v>
      </c>
      <c r="E21" s="8">
        <f>IF(A21&lt;&gt;"",INDEX('[1]01-数据'!$C$6:$ND$6,MATCH(A21,'[1]01-数据'!$C$1:$ND$1))," ")</f>
        <v>34982.66</v>
      </c>
      <c r="F21" s="14">
        <f>IF(A21&lt;&gt;"",INDEX('[1]01-数据'!$C$7:$ND$7,MATCH(A21,'[1]01-数据'!$C$1:$ND$1))," ")</f>
        <v>0.031</v>
      </c>
      <c r="G21" s="8">
        <f>IF(A21&lt;&gt;"",INDEX('[1]01-数据'!$C$11:$ND$11,MATCH(A21,'[1]01-数据'!$C$1:$ND$1))," ")</f>
        <v>10.74</v>
      </c>
      <c r="H21" s="8">
        <f>IF(A21&lt;&gt;"",INDEX('[1]01-数据'!$C$14:$ND$14,MATCH(A21,'[1]01-数据'!$C$1:$ND$1))," ")</f>
        <v>8.9</v>
      </c>
    </row>
    <row r="22" spans="1:8">
      <c r="A22" s="28">
        <v>45431</v>
      </c>
      <c r="B22" s="11">
        <f>IF(A22&lt;&gt;"",INDEX('[1]01-数据'!$C$2:$ND$2,MATCH(A22,'[1]01-数据'!$C$1:$ND$1))," ")</f>
        <v>261.95</v>
      </c>
      <c r="C22" s="11">
        <f>IF(A22&lt;&gt;"",INDEX('[1]01-数据'!$C$3:$ND$3,MATCH(A22,'[1]01-数据'!$C$1:$ND$1))," ")</f>
        <v>4692.02</v>
      </c>
      <c r="D22" s="12">
        <f>IF(A22&lt;&gt;"",INDEX('[1]01-数据'!$C$4:$ND$4,MATCH(A22,'[1]01-数据'!$C$1:$ND$1))," ")</f>
        <v>0.0483</v>
      </c>
      <c r="E22" s="11">
        <f>IF(A22&lt;&gt;"",INDEX('[1]01-数据'!$C$6:$ND$6,MATCH(A22,'[1]01-数据'!$C$1:$ND$1))," ")</f>
        <v>35244.61</v>
      </c>
      <c r="F22" s="15">
        <f>IF(A22&lt;&gt;"",INDEX('[1]01-数据'!$C$7:$ND$7,MATCH(A22,'[1]01-数据'!$C$1:$ND$1))," ")</f>
        <v>0.0315</v>
      </c>
      <c r="G22" s="11">
        <f>IF(A22&lt;&gt;"",INDEX('[1]01-数据'!$C$11:$ND$11,MATCH(A22,'[1]01-数据'!$C$1:$ND$1))," ")</f>
        <v>11.63</v>
      </c>
      <c r="H22" s="11">
        <f>IF(A22&lt;&gt;"",INDEX('[1]01-数据'!$C$14:$ND$14,MATCH(A22,'[1]01-数据'!$C$1:$ND$1))," ")</f>
        <v>8.76</v>
      </c>
    </row>
    <row r="23" spans="1:8">
      <c r="A23" s="28">
        <v>45432</v>
      </c>
      <c r="B23" s="11">
        <f>IF(A23&lt;&gt;"",INDEX('[1]01-数据'!$C$2:$ND$2,MATCH(A23,'[1]01-数据'!$C$1:$ND$1))," ")</f>
        <v>272.95</v>
      </c>
      <c r="C23" s="11">
        <f>IF(A23&lt;&gt;"",INDEX('[1]01-数据'!$C$3:$ND$3,MATCH(A23,'[1]01-数据'!$C$1:$ND$1))," ")</f>
        <v>4964.97</v>
      </c>
      <c r="D23" s="12">
        <f>IF(A23&lt;&gt;"",INDEX('[1]01-数据'!$C$4:$ND$4,MATCH(A23,'[1]01-数据'!$C$1:$ND$1))," ")</f>
        <v>0.0518</v>
      </c>
      <c r="E23" s="11">
        <f>IF(A23&lt;&gt;"",INDEX('[1]01-数据'!$C$6:$ND$6,MATCH(A23,'[1]01-数据'!$C$1:$ND$1))," ")</f>
        <v>35517.56</v>
      </c>
      <c r="F23" s="15">
        <f>IF(A23&lt;&gt;"",INDEX('[1]01-数据'!$C$7:$ND$7,MATCH(A23,'[1]01-数据'!$C$1:$ND$1))," ")</f>
        <v>0.032</v>
      </c>
      <c r="G23" s="11">
        <f>IF(A23&lt;&gt;"",INDEX('[1]01-数据'!$C$11:$ND$11,MATCH(A23,'[1]01-数据'!$C$1:$ND$1))," ")</f>
        <v>12.09</v>
      </c>
      <c r="H23" s="11">
        <f>IF(A23&lt;&gt;"",INDEX('[1]01-数据'!$C$14:$ND$14,MATCH(A23,'[1]01-数据'!$C$1:$ND$1))," ")</f>
        <v>9.25</v>
      </c>
    </row>
    <row r="24" spans="1:8">
      <c r="A24" s="28">
        <v>45433</v>
      </c>
      <c r="B24" s="11">
        <f>IF(A24&lt;&gt;"",INDEX('[1]01-数据'!$C$2:$ND$2,MATCH(A24,'[1]01-数据'!$C$1:$ND$1))," ")</f>
        <v>278.89</v>
      </c>
      <c r="C24" s="11">
        <f>IF(A24&lt;&gt;"",INDEX('[1]01-数据'!$C$3:$ND$3,MATCH(A24,'[1]01-数据'!$C$1:$ND$1))," ")</f>
        <v>5243.85</v>
      </c>
      <c r="D24" s="12">
        <f>IF(A24&lt;&gt;"",INDEX('[1]01-数据'!$C$4:$ND$4,MATCH(A24,'[1]01-数据'!$C$1:$ND$1))," ")</f>
        <v>0.0555</v>
      </c>
      <c r="E24" s="11">
        <f>IF(A24&lt;&gt;"",INDEX('[1]01-数据'!$C$6:$ND$6,MATCH(A24,'[1]01-数据'!$C$1:$ND$1))," ")</f>
        <v>35796.45</v>
      </c>
      <c r="F24" s="15">
        <f>IF(A24&lt;&gt;"",INDEX('[1]01-数据'!$C$7:$ND$7,MATCH(A24,'[1]01-数据'!$C$1:$ND$1))," ")</f>
        <v>0.0327</v>
      </c>
      <c r="G24" s="11">
        <f>IF(A24&lt;&gt;"",INDEX('[1]01-数据'!$C$11:$ND$11,MATCH(A24,'[1]01-数据'!$C$1:$ND$1))," ")</f>
        <v>12.29</v>
      </c>
      <c r="H24" s="11">
        <f>IF(A24&lt;&gt;"",INDEX('[1]01-数据'!$C$14:$ND$14,MATCH(A24,'[1]01-数据'!$C$1:$ND$1))," ")</f>
        <v>9.48</v>
      </c>
    </row>
    <row r="25" spans="1:8">
      <c r="A25" s="28">
        <v>45434</v>
      </c>
      <c r="B25" s="11">
        <f>IF(A25&lt;&gt;"",INDEX('[1]01-数据'!$C$2:$ND$2,MATCH(A25,'[1]01-数据'!$C$1:$ND$1))," ")</f>
        <v>274.23</v>
      </c>
      <c r="C25" s="11">
        <f>IF(A25&lt;&gt;"",INDEX('[1]01-数据'!$C$3:$ND$3,MATCH(A25,'[1]01-数据'!$C$1:$ND$1))," ")</f>
        <v>5518.09</v>
      </c>
      <c r="D25" s="12">
        <f>IF(A25&lt;&gt;"",INDEX('[1]01-数据'!$C$4:$ND$4,MATCH(A25,'[1]01-数据'!$C$1:$ND$1))," ")</f>
        <v>0.0576</v>
      </c>
      <c r="E25" s="11">
        <f>IF(A25&lt;&gt;"",INDEX('[1]01-数据'!$C$6:$ND$6,MATCH(A25,'[1]01-数据'!$C$1:$ND$1))," ")</f>
        <v>36070.68</v>
      </c>
      <c r="F25" s="15">
        <f>IF(A25&lt;&gt;"",INDEX('[1]01-数据'!$C$7:$ND$7,MATCH(A25,'[1]01-数据'!$C$1:$ND$1))," ")</f>
        <v>0.0332</v>
      </c>
      <c r="G25" s="11">
        <f>IF(A25&lt;&gt;"",INDEX('[1]01-数据'!$C$11:$ND$11,MATCH(A25,'[1]01-数据'!$C$1:$ND$1))," ")</f>
        <v>12.17</v>
      </c>
      <c r="H25" s="11">
        <f>IF(A25&lt;&gt;"",INDEX('[1]01-数据'!$C$14:$ND$14,MATCH(A25,'[1]01-数据'!$C$1:$ND$1))," ")</f>
        <v>9.57</v>
      </c>
    </row>
    <row r="26" spans="1:8">
      <c r="A26" s="28">
        <v>45435</v>
      </c>
      <c r="B26" s="11">
        <f>IF(A26&lt;&gt;"",INDEX('[1]01-数据'!$C$2:$ND$2,MATCH(A26,'[1]01-数据'!$C$1:$ND$1))," ")</f>
        <v>264.25</v>
      </c>
      <c r="C26" s="11">
        <f>IF(A26&lt;&gt;"",INDEX('[1]01-数据'!$C$3:$ND$3,MATCH(A26,'[1]01-数据'!$C$1:$ND$1))," ")</f>
        <v>5782.34</v>
      </c>
      <c r="D26" s="12">
        <f>IF(A26&lt;&gt;"",INDEX('[1]01-数据'!$C$4:$ND$4,MATCH(A26,'[1]01-数据'!$C$1:$ND$1))," ")</f>
        <v>0.0568</v>
      </c>
      <c r="E26" s="11">
        <f>IF(A26&lt;&gt;"",INDEX('[1]01-数据'!$C$6:$ND$6,MATCH(A26,'[1]01-数据'!$C$1:$ND$1))," ")</f>
        <v>36334.93</v>
      </c>
      <c r="F26" s="15">
        <f>IF(A26&lt;&gt;"",INDEX('[1]01-数据'!$C$7:$ND$7,MATCH(A26,'[1]01-数据'!$C$1:$ND$1))," ")</f>
        <v>0.0333</v>
      </c>
      <c r="G26" s="11">
        <f>IF(A26&lt;&gt;"",INDEX('[1]01-数据'!$C$11:$ND$11,MATCH(A26,'[1]01-数据'!$C$1:$ND$1))," ")</f>
        <v>11.69</v>
      </c>
      <c r="H26" s="11">
        <f>IF(A26&lt;&gt;"",INDEX('[1]01-数据'!$C$14:$ND$14,MATCH(A26,'[1]01-数据'!$C$1:$ND$1))," ")</f>
        <v>9.32</v>
      </c>
    </row>
    <row r="27" spans="1:8">
      <c r="A27" s="27">
        <v>45436</v>
      </c>
      <c r="B27" s="8">
        <f>IF(A27&lt;&gt;"",INDEX('[1]01-数据'!$C$2:$ND$2,MATCH(A27,'[1]01-数据'!$C$1:$ND$1))," ")</f>
        <v>254.53</v>
      </c>
      <c r="C27" s="8">
        <f>IF(A27&lt;&gt;"",INDEX('[1]01-数据'!$C$3:$ND$3,MATCH(A27,'[1]01-数据'!$C$1:$ND$1))," ")</f>
        <v>6036.86</v>
      </c>
      <c r="D27" s="9">
        <f>IF(A27&lt;&gt;"",INDEX('[1]01-数据'!$C$4:$ND$4,MATCH(A27,'[1]01-数据'!$C$1:$ND$1))," ")</f>
        <v>0.0542</v>
      </c>
      <c r="E27" s="8">
        <f>IF(A27&lt;&gt;"",INDEX('[1]01-数据'!$C$6:$ND$6,MATCH(A27,'[1]01-数据'!$C$1:$ND$1))," ")</f>
        <v>36589.46</v>
      </c>
      <c r="F27" s="14">
        <f>IF(A27&lt;&gt;"",INDEX('[1]01-数据'!$C$7:$ND$7,MATCH(A27,'[1]01-数据'!$C$1:$ND$1))," ")</f>
        <v>0.033</v>
      </c>
      <c r="G27" s="8">
        <f>IF(A27&lt;&gt;"",INDEX('[1]01-数据'!$C$11:$ND$11,MATCH(A27,'[1]01-数据'!$C$1:$ND$1))," ")</f>
        <v>11.12</v>
      </c>
      <c r="H27" s="8">
        <f>IF(A27&lt;&gt;"",INDEX('[1]01-数据'!$C$14:$ND$14,MATCH(A27,'[1]01-数据'!$C$1:$ND$1))," ")</f>
        <v>9.04</v>
      </c>
    </row>
    <row r="28" spans="1:8">
      <c r="A28" s="27">
        <v>45437</v>
      </c>
      <c r="B28" s="8">
        <f>IF(A28&lt;&gt;"",INDEX('[1]01-数据'!$C$2:$ND$2,MATCH(A28,'[1]01-数据'!$C$1:$ND$1))," ")</f>
        <v>246.25</v>
      </c>
      <c r="C28" s="8">
        <f>IF(A28&lt;&gt;"",INDEX('[1]01-数据'!$C$3:$ND$3,MATCH(A28,'[1]01-数据'!$C$1:$ND$1))," ")</f>
        <v>6283.12</v>
      </c>
      <c r="D28" s="9">
        <f>IF(A28&lt;&gt;"",INDEX('[1]01-数据'!$C$4:$ND$4,MATCH(A28,'[1]01-数据'!$C$1:$ND$1))," ")</f>
        <v>0.0509</v>
      </c>
      <c r="E28" s="8">
        <f>IF(A28&lt;&gt;"",INDEX('[1]01-数据'!$C$6:$ND$6,MATCH(A28,'[1]01-数据'!$C$1:$ND$1))," ")</f>
        <v>36835.71</v>
      </c>
      <c r="F28" s="14">
        <f>IF(A28&lt;&gt;"",INDEX('[1]01-数据'!$C$7:$ND$7,MATCH(A28,'[1]01-数据'!$C$1:$ND$1))," ")</f>
        <v>0.0326</v>
      </c>
      <c r="G28" s="8">
        <f>IF(A28&lt;&gt;"",INDEX('[1]01-数据'!$C$11:$ND$11,MATCH(A28,'[1]01-数据'!$C$1:$ND$1))," ")</f>
        <v>10.68</v>
      </c>
      <c r="H28" s="8">
        <f>IF(A28&lt;&gt;"",INDEX('[1]01-数据'!$C$14:$ND$14,MATCH(A28,'[1]01-数据'!$C$1:$ND$1))," ")</f>
        <v>8.83</v>
      </c>
    </row>
    <row r="29" spans="1:8">
      <c r="A29" s="28">
        <v>45438</v>
      </c>
      <c r="B29" s="11">
        <f>IF(A29&lt;&gt;"",INDEX('[1]01-数据'!$C$2:$ND$2,MATCH(A29,'[1]01-数据'!$C$1:$ND$1))," ")</f>
        <v>252.68</v>
      </c>
      <c r="C29" s="11">
        <f>IF(A29&lt;&gt;"",INDEX('[1]01-数据'!$C$3:$ND$3,MATCH(A29,'[1]01-数据'!$C$1:$ND$1))," ")</f>
        <v>6535.8</v>
      </c>
      <c r="D29" s="12">
        <f>IF(A29&lt;&gt;"",INDEX('[1]01-数据'!$C$4:$ND$4,MATCH(A29,'[1]01-数据'!$C$1:$ND$1))," ")</f>
        <v>0.0497</v>
      </c>
      <c r="E29" s="11">
        <f>IF(A29&lt;&gt;"",INDEX('[1]01-数据'!$C$6:$ND$6,MATCH(A29,'[1]01-数据'!$C$1:$ND$1))," ")</f>
        <v>37088.39</v>
      </c>
      <c r="F29" s="15">
        <f>IF(A29&lt;&gt;"",INDEX('[1]01-数据'!$C$7:$ND$7,MATCH(A29,'[1]01-数据'!$C$1:$ND$1))," ")</f>
        <v>0.0325</v>
      </c>
      <c r="G29" s="11">
        <f>IF(A29&lt;&gt;"",INDEX('[1]01-数据'!$C$11:$ND$11,MATCH(A29,'[1]01-数据'!$C$1:$ND$1))," ")</f>
        <v>11.14</v>
      </c>
      <c r="H29" s="11">
        <f>IF(A29&lt;&gt;"",INDEX('[1]01-数据'!$C$14:$ND$14,MATCH(A29,'[1]01-数据'!$C$1:$ND$1))," ")</f>
        <v>8.63</v>
      </c>
    </row>
    <row r="30" spans="1:8">
      <c r="A30" s="28">
        <v>45439</v>
      </c>
      <c r="B30" s="11">
        <f>IF(A30&lt;&gt;"",INDEX('[1]01-数据'!$C$2:$ND$2,MATCH(A30,'[1]01-数据'!$C$1:$ND$1))," ")</f>
        <v>255.54</v>
      </c>
      <c r="C30" s="11">
        <f>IF(A30&lt;&gt;"",INDEX('[1]01-数据'!$C$3:$ND$3,MATCH(A30,'[1]01-数据'!$C$1:$ND$1))," ")</f>
        <v>6791.33</v>
      </c>
      <c r="D30" s="12">
        <f>IF(A30&lt;&gt;"",INDEX('[1]01-数据'!$C$4:$ND$4,MATCH(A30,'[1]01-数据'!$C$1:$ND$1))," ")</f>
        <v>0.0486</v>
      </c>
      <c r="E30" s="11">
        <f>IF(A30&lt;&gt;"",INDEX('[1]01-数据'!$C$6:$ND$6,MATCH(A30,'[1]01-数据'!$C$1:$ND$1))," ")</f>
        <v>37343.93</v>
      </c>
      <c r="F30" s="15">
        <f>IF(A30&lt;&gt;"",INDEX('[1]01-数据'!$C$7:$ND$7,MATCH(A30,'[1]01-数据'!$C$1:$ND$1))," ")</f>
        <v>0.0324</v>
      </c>
      <c r="G30" s="11">
        <f>IF(A30&lt;&gt;"",INDEX('[1]01-数据'!$C$11:$ND$11,MATCH(A30,'[1]01-数据'!$C$1:$ND$1))," ")</f>
        <v>11.28</v>
      </c>
      <c r="H30" s="11">
        <f>IF(A30&lt;&gt;"",INDEX('[1]01-数据'!$C$14:$ND$14,MATCH(A30,'[1]01-数据'!$C$1:$ND$1))," ")</f>
        <v>8.85</v>
      </c>
    </row>
    <row r="31" spans="1:8">
      <c r="A31" s="28">
        <v>45440</v>
      </c>
      <c r="B31" s="11">
        <f>IF(A31&lt;&gt;"",INDEX('[1]01-数据'!$C$2:$ND$2,MATCH(A31,'[1]01-数据'!$C$1:$ND$1))," ")</f>
        <v>256.05</v>
      </c>
      <c r="C31" s="11">
        <f>IF(A31&lt;&gt;"",INDEX('[1]01-数据'!$C$3:$ND$3,MATCH(A31,'[1]01-数据'!$C$1:$ND$1))," ")</f>
        <v>7047.39</v>
      </c>
      <c r="D31" s="12">
        <f>IF(A31&lt;&gt;"",INDEX('[1]01-数据'!$C$4:$ND$4,MATCH(A31,'[1]01-数据'!$C$1:$ND$1))," ")</f>
        <v>0.048</v>
      </c>
      <c r="E31" s="11">
        <f>IF(A31&lt;&gt;"",INDEX('[1]01-数据'!$C$6:$ND$6,MATCH(A31,'[1]01-数据'!$C$1:$ND$1))," ")</f>
        <v>37599.98</v>
      </c>
      <c r="F31" s="15">
        <f>IF(A31&lt;&gt;"",INDEX('[1]01-数据'!$C$7:$ND$7,MATCH(A31,'[1]01-数据'!$C$1:$ND$1))," ")</f>
        <v>0.0324</v>
      </c>
      <c r="G31" s="11">
        <f>IF(A31&lt;&gt;"",INDEX('[1]01-数据'!$C$11:$ND$11,MATCH(A31,'[1]01-数据'!$C$1:$ND$1))," ")</f>
        <v>11.28</v>
      </c>
      <c r="H31" s="11">
        <f>IF(A31&lt;&gt;"",INDEX('[1]01-数据'!$C$14:$ND$14,MATCH(A31,'[1]01-数据'!$C$1:$ND$1))," ")</f>
        <v>8.89</v>
      </c>
    </row>
    <row r="32" spans="1:8">
      <c r="A32" s="28">
        <v>45441</v>
      </c>
      <c r="B32" s="11">
        <f>IF(A32&lt;&gt;"",INDEX('[1]01-数据'!$C$2:$ND$2,MATCH(A32,'[1]01-数据'!$C$1:$ND$1))," ")</f>
        <v>257.01</v>
      </c>
      <c r="C32" s="11">
        <f>IF(A32&lt;&gt;"",INDEX('[1]01-数据'!$C$3:$ND$3,MATCH(A32,'[1]01-数据'!$C$1:$ND$1))," ")</f>
        <v>7304.4</v>
      </c>
      <c r="D32" s="12">
        <f>IF(A32&lt;&gt;"",INDEX('[1]01-数据'!$C$4:$ND$4,MATCH(A32,'[1]01-数据'!$C$1:$ND$1))," ")</f>
        <v>0.0478</v>
      </c>
      <c r="E32" s="11">
        <f>IF(A32&lt;&gt;"",INDEX('[1]01-数据'!$C$6:$ND$6,MATCH(A32,'[1]01-数据'!$C$1:$ND$1))," ")</f>
        <v>37856.99</v>
      </c>
      <c r="F32" s="15">
        <f>IF(A32&lt;&gt;"",INDEX('[1]01-数据'!$C$7:$ND$7,MATCH(A32,'[1]01-数据'!$C$1:$ND$1))," ")</f>
        <v>0.0325</v>
      </c>
      <c r="G32" s="11">
        <f>IF(A32&lt;&gt;"",INDEX('[1]01-数据'!$C$11:$ND$11,MATCH(A32,'[1]01-数据'!$C$1:$ND$1))," ")</f>
        <v>11.31</v>
      </c>
      <c r="H32" s="11">
        <f>IF(A32&lt;&gt;"",INDEX('[1]01-数据'!$C$14:$ND$14,MATCH(A32,'[1]01-数据'!$C$1:$ND$1))," ")</f>
        <v>8.87</v>
      </c>
    </row>
    <row r="33" spans="1:8">
      <c r="A33" s="28">
        <v>45442</v>
      </c>
      <c r="B33" s="11">
        <f>IF(A33&lt;&gt;"",INDEX('[1]01-数据'!$C$2:$ND$2,MATCH(A33,'[1]01-数据'!$C$1:$ND$1))," ")</f>
        <v>254.34</v>
      </c>
      <c r="C33" s="11">
        <f>IF(A33&lt;&gt;"",INDEX('[1]01-数据'!$C$3:$ND$3,MATCH(A33,'[1]01-数据'!$C$1:$ND$1))," ")</f>
        <v>7558.74</v>
      </c>
      <c r="D33" s="12">
        <f>IF(A33&lt;&gt;"",INDEX('[1]01-数据'!$C$4:$ND$4,MATCH(A33,'[1]01-数据'!$C$1:$ND$1))," ")</f>
        <v>0.0473</v>
      </c>
      <c r="E33" s="11">
        <f>IF(A33&lt;&gt;"",INDEX('[1]01-数据'!$C$6:$ND$6,MATCH(A33,'[1]01-数据'!$C$1:$ND$1))," ")</f>
        <v>38111.33</v>
      </c>
      <c r="F33" s="15">
        <f>IF(A33&lt;&gt;"",INDEX('[1]01-数据'!$C$7:$ND$7,MATCH(A33,'[1]01-数据'!$C$1:$ND$1))," ")</f>
        <v>0.0325</v>
      </c>
      <c r="G33" s="11">
        <f>IF(A33&lt;&gt;"",INDEX('[1]01-数据'!$C$11:$ND$11,MATCH(A33,'[1]01-数据'!$C$1:$ND$1))," ")</f>
        <v>11.22</v>
      </c>
      <c r="H33" s="11">
        <f>IF(A33&lt;&gt;"",INDEX('[1]01-数据'!$C$14:$ND$14,MATCH(A33,'[1]01-数据'!$C$1:$ND$1))," ")</f>
        <v>8.88</v>
      </c>
    </row>
    <row r="34" spans="1:8">
      <c r="A34" s="28">
        <v>45443</v>
      </c>
      <c r="B34" s="11">
        <f>IF(A34&lt;&gt;"",INDEX('[1]01-数据'!$C$2:$ND$2,MATCH(A34,'[1]01-数据'!$C$1:$ND$1))," ")</f>
        <v>226.82</v>
      </c>
      <c r="C34" s="11">
        <f>IF(A34&lt;&gt;"",INDEX('[1]01-数据'!$C$3:$ND$3,MATCH(A34,'[1]01-数据'!$C$1:$ND$1))," ")</f>
        <v>7785.56</v>
      </c>
      <c r="D34" s="12">
        <f>IF(A34&lt;&gt;"",INDEX('[1]01-数据'!$C$4:$ND$4,MATCH(A34,'[1]01-数据'!$C$1:$ND$1))," ")</f>
        <v>0.0429</v>
      </c>
      <c r="E34" s="11">
        <f>IF(A34&lt;&gt;"",INDEX('[1]01-数据'!$C$6:$ND$6,MATCH(A34,'[1]01-数据'!$C$1:$ND$1))," ")</f>
        <v>38338.16</v>
      </c>
      <c r="F34" s="15">
        <f>IF(A34&lt;&gt;"",INDEX('[1]01-数据'!$C$7:$ND$7,MATCH(A34,'[1]01-数据'!$C$1:$ND$1))," ")</f>
        <v>0.0317</v>
      </c>
      <c r="G34" s="11">
        <f>IF(A34&lt;&gt;"",INDEX('[1]01-数据'!$C$11:$ND$11,MATCH(A34,'[1]01-数据'!$C$1:$ND$1))," ")</f>
        <v>9.57</v>
      </c>
      <c r="H34" s="11">
        <f>IF(A34&lt;&gt;"",INDEX('[1]01-数据'!$C$14:$ND$14,MATCH(A34,'[1]01-数据'!$C$1:$ND$1))," ")</f>
        <v>8.47</v>
      </c>
    </row>
    <row r="35" spans="1:8">
      <c r="A35" s="13" t="s">
        <v>9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4"/>
  <sheetViews>
    <sheetView zoomScale="145" zoomScaleNormal="145" topLeftCell="A13" workbookViewId="0">
      <selection activeCell="C33" sqref="C33"/>
    </sheetView>
  </sheetViews>
  <sheetFormatPr defaultColWidth="9" defaultRowHeight="14.25"/>
  <cols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9" max="9" width="12.625"/>
    <col min="11" max="11" width="9.33333333333333"/>
    <col min="12" max="12" width="12.625"/>
  </cols>
  <sheetData>
    <row r="1" ht="18.75" spans="1:8">
      <c r="A1" s="3" t="s">
        <v>16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="2" customFormat="1" spans="1:8">
      <c r="A4" s="27">
        <v>45444</v>
      </c>
      <c r="B4" s="8">
        <f>IF(A4&lt;&gt;"",INDEX('[1]01-数据'!$C$2:$ND$2,MATCH(A4,'[1]01-数据'!$C$1:$ND$1))," ")</f>
        <v>231.51</v>
      </c>
      <c r="C4" s="8">
        <f>IF(A4&lt;&gt;"",INDEX('[1]01-数据'!$C$3:$ND$3,MATCH(A4,'[1]01-数据'!$C$1:$ND$1))," ")</f>
        <v>231.51</v>
      </c>
      <c r="D4" s="9">
        <f>IF(A4&lt;&gt;"",INDEX('[1]01-数据'!$C$4:$ND$4,MATCH(A4,'[1]01-数据'!$C$1:$ND$1))," ")</f>
        <v>-0.0421</v>
      </c>
      <c r="E4" s="8">
        <f>IF(A4&lt;&gt;"",INDEX('[1]01-数据'!$C$6:$ND$6,MATCH(A4,'[1]01-数据'!$C$1:$ND$1))," ")</f>
        <v>38569.67</v>
      </c>
      <c r="F4" s="14">
        <f>IF(A4&lt;&gt;"",INDEX('[1]01-数据'!$C$7:$ND$7,MATCH(A4,'[1]01-数据'!$C$1:$ND$1))," ")</f>
        <v>0.0312</v>
      </c>
      <c r="G4" s="8">
        <f>IF(A4&lt;&gt;"",INDEX('[1]01-数据'!$C$11:$ND$11,MATCH(A4,'[1]01-数据'!$C$1:$ND$1))," ")</f>
        <v>10.13</v>
      </c>
      <c r="H4" s="8">
        <f>IF(A4&lt;&gt;"",INDEX('[1]01-数据'!$C$14:$ND$14,MATCH(A4,'[1]01-数据'!$C$1:$ND$1))," ")</f>
        <v>7.94</v>
      </c>
    </row>
    <row r="5" s="2" customFormat="1" spans="1:8">
      <c r="A5" s="27">
        <v>45445</v>
      </c>
      <c r="B5" s="8">
        <f>IF(A5&lt;&gt;"",INDEX('[1]01-数据'!$C$2:$ND$2,MATCH(A5,'[1]01-数据'!$C$1:$ND$1))," ")</f>
        <v>247.76</v>
      </c>
      <c r="C5" s="8">
        <f>IF(A5&lt;&gt;"",INDEX('[1]01-数据'!$C$3:$ND$3,MATCH(A5,'[1]01-数据'!$C$1:$ND$1))," ")</f>
        <v>479.27</v>
      </c>
      <c r="D5" s="9">
        <f>IF(A5&lt;&gt;"",INDEX('[1]01-数据'!$C$4:$ND$4,MATCH(A5,'[1]01-数据'!$C$1:$ND$1))," ")</f>
        <v>-0.0027</v>
      </c>
      <c r="E5" s="8">
        <f>IF(A5&lt;&gt;"",INDEX('[1]01-数据'!$C$6:$ND$6,MATCH(A5,'[1]01-数据'!$C$1:$ND$1))," ")</f>
        <v>38817.43</v>
      </c>
      <c r="F5" s="14">
        <f>IF(A5&lt;&gt;"",INDEX('[1]01-数据'!$C$7:$ND$7,MATCH(A5,'[1]01-数据'!$C$1:$ND$1))," ")</f>
        <v>0.0313</v>
      </c>
      <c r="G5" s="8">
        <f>IF(A5&lt;&gt;"",INDEX('[1]01-数据'!$C$11:$ND$11,MATCH(A5,'[1]01-数据'!$C$1:$ND$1))," ")</f>
        <v>10.92</v>
      </c>
      <c r="H5" s="8">
        <f>IF(A5&lt;&gt;"",INDEX('[1]01-数据'!$C$14:$ND$14,MATCH(A5,'[1]01-数据'!$C$1:$ND$1))," ")</f>
        <v>8.39</v>
      </c>
    </row>
    <row r="6" s="2" customFormat="1" spans="1:8">
      <c r="A6" s="28">
        <v>45446</v>
      </c>
      <c r="B6" s="11">
        <f>IF(A6&lt;&gt;"",INDEX('[1]01-数据'!$C$2:$ND$2,MATCH(A6,'[1]01-数据'!$C$1:$ND$1))," ")</f>
        <v>256.39</v>
      </c>
      <c r="C6" s="11">
        <f>IF(A6&lt;&gt;"",INDEX('[1]01-数据'!$C$3:$ND$3,MATCH(A6,'[1]01-数据'!$C$1:$ND$1))," ")</f>
        <v>735.66</v>
      </c>
      <c r="D6" s="12">
        <f>IF(A6&lt;&gt;"",INDEX('[1]01-数据'!$C$4:$ND$4,MATCH(A6,'[1]01-数据'!$C$1:$ND$1))," ")</f>
        <v>0.0091</v>
      </c>
      <c r="E6" s="11">
        <f>IF(A6&lt;&gt;"",INDEX('[1]01-数据'!$C$6:$ND$6,MATCH(A6,'[1]01-数据'!$C$1:$ND$1))," ")</f>
        <v>39073.81</v>
      </c>
      <c r="F6" s="15">
        <f>IF(A6&lt;&gt;"",INDEX('[1]01-数据'!$C$7:$ND$7,MATCH(A6,'[1]01-数据'!$C$1:$ND$1))," ")</f>
        <v>0.0313</v>
      </c>
      <c r="G6" s="11">
        <f>IF(A6&lt;&gt;"",INDEX('[1]01-数据'!$C$11:$ND$11,MATCH(A6,'[1]01-数据'!$C$1:$ND$1))," ")</f>
        <v>11.25</v>
      </c>
      <c r="H6" s="11">
        <f>IF(A6&lt;&gt;"",INDEX('[1]01-数据'!$C$14:$ND$14,MATCH(A6,'[1]01-数据'!$C$1:$ND$1))," ")</f>
        <v>8.78</v>
      </c>
    </row>
    <row r="7" s="2" customFormat="1" spans="1:8">
      <c r="A7" s="28">
        <v>45447</v>
      </c>
      <c r="B7" s="11">
        <f>IF(A7&lt;&gt;"",INDEX('[1]01-数据'!$C$2:$ND$2,MATCH(A7,'[1]01-数据'!$C$1:$ND$1))," ")</f>
        <v>261.77</v>
      </c>
      <c r="C7" s="11">
        <f>IF(A7&lt;&gt;"",INDEX('[1]01-数据'!$C$3:$ND$3,MATCH(A7,'[1]01-数据'!$C$1:$ND$1))," ")</f>
        <v>997.43</v>
      </c>
      <c r="D7" s="12">
        <f>IF(A7&lt;&gt;"",INDEX('[1]01-数据'!$C$4:$ND$4,MATCH(A7,'[1]01-数据'!$C$1:$ND$1))," ")</f>
        <v>0.0197</v>
      </c>
      <c r="E7" s="11">
        <f>IF(A7&lt;&gt;"",INDEX('[1]01-数据'!$C$6:$ND$6,MATCH(A7,'[1]01-数据'!$C$1:$ND$1))," ")</f>
        <v>39335.58</v>
      </c>
      <c r="F7" s="15">
        <f>IF(A7&lt;&gt;"",INDEX('[1]01-数据'!$C$7:$ND$7,MATCH(A7,'[1]01-数据'!$C$1:$ND$1))," ")</f>
        <v>0.0314</v>
      </c>
      <c r="G7" s="11">
        <f>IF(A7&lt;&gt;"",INDEX('[1]01-数据'!$C$11:$ND$11,MATCH(A7,'[1]01-数据'!$C$1:$ND$1))," ")</f>
        <v>11.5</v>
      </c>
      <c r="H7" s="11">
        <f>IF(A7&lt;&gt;"",INDEX('[1]01-数据'!$C$14:$ND$14,MATCH(A7,'[1]01-数据'!$C$1:$ND$1))," ")</f>
        <v>8.97</v>
      </c>
    </row>
    <row r="8" s="2" customFormat="1" spans="1:8">
      <c r="A8" s="28">
        <v>45448</v>
      </c>
      <c r="B8" s="11">
        <f>IF(A8&lt;&gt;"",INDEX('[1]01-数据'!$C$2:$ND$2,MATCH(A8,'[1]01-数据'!$C$1:$ND$1))," ")</f>
        <v>268.95</v>
      </c>
      <c r="C8" s="11">
        <f>IF(A8&lt;&gt;"",INDEX('[1]01-数据'!$C$3:$ND$3,MATCH(A8,'[1]01-数据'!$C$1:$ND$1))," ")</f>
        <v>1266.38</v>
      </c>
      <c r="D8" s="12">
        <f>IF(A8&lt;&gt;"",INDEX('[1]01-数据'!$C$4:$ND$4,MATCH(A8,'[1]01-数据'!$C$1:$ND$1))," ")</f>
        <v>0.0328</v>
      </c>
      <c r="E8" s="11">
        <f>IF(A8&lt;&gt;"",INDEX('[1]01-数据'!$C$6:$ND$6,MATCH(A8,'[1]01-数据'!$C$1:$ND$1))," ")</f>
        <v>39604.53</v>
      </c>
      <c r="F8" s="15">
        <f>IF(A8&lt;&gt;"",INDEX('[1]01-数据'!$C$7:$ND$7,MATCH(A8,'[1]01-数据'!$C$1:$ND$1))," ")</f>
        <v>0.0318</v>
      </c>
      <c r="G8" s="11">
        <f>IF(A8&lt;&gt;"",INDEX('[1]01-数据'!$C$11:$ND$11,MATCH(A8,'[1]01-数据'!$C$1:$ND$1))," ")</f>
        <v>11.81</v>
      </c>
      <c r="H8" s="11">
        <f>IF(A8&lt;&gt;"",INDEX('[1]01-数据'!$C$14:$ND$14,MATCH(A8,'[1]01-数据'!$C$1:$ND$1))," ")</f>
        <v>9.15</v>
      </c>
    </row>
    <row r="9" s="2" customFormat="1" spans="1:8">
      <c r="A9" s="28">
        <v>45449</v>
      </c>
      <c r="B9" s="11">
        <f>IF(A9&lt;&gt;"",INDEX('[1]01-数据'!$C$2:$ND$2,MATCH(A9,'[1]01-数据'!$C$1:$ND$1))," ")</f>
        <v>279.5</v>
      </c>
      <c r="C9" s="11">
        <f>IF(A9&lt;&gt;"",INDEX('[1]01-数据'!$C$3:$ND$3,MATCH(A9,'[1]01-数据'!$C$1:$ND$1))," ")</f>
        <v>1545.87</v>
      </c>
      <c r="D9" s="12">
        <f>IF(A9&lt;&gt;"",INDEX('[1]01-数据'!$C$4:$ND$4,MATCH(A9,'[1]01-数据'!$C$1:$ND$1))," ")</f>
        <v>0.048</v>
      </c>
      <c r="E9" s="11">
        <f>IF(A9&lt;&gt;"",INDEX('[1]01-数据'!$C$6:$ND$6,MATCH(A9,'[1]01-数据'!$C$1:$ND$1))," ")</f>
        <v>39884.03</v>
      </c>
      <c r="F9" s="15">
        <f>IF(A9&lt;&gt;"",INDEX('[1]01-数据'!$C$7:$ND$7,MATCH(A9,'[1]01-数据'!$C$1:$ND$1))," ")</f>
        <v>0.0323</v>
      </c>
      <c r="G9" s="11">
        <f>IF(A9&lt;&gt;"",INDEX('[1]01-数据'!$C$11:$ND$11,MATCH(A9,'[1]01-数据'!$C$1:$ND$1))," ")</f>
        <v>12.23</v>
      </c>
      <c r="H9" s="11">
        <f>IF(A9&lt;&gt;"",INDEX('[1]01-数据'!$C$14:$ND$14,MATCH(A9,'[1]01-数据'!$C$1:$ND$1))," ")</f>
        <v>9.4</v>
      </c>
    </row>
    <row r="10" s="2" customFormat="1" spans="1:8">
      <c r="A10" s="27">
        <v>45450</v>
      </c>
      <c r="B10" s="8">
        <f>IF(A10&lt;&gt;"",INDEX('[1]01-数据'!$C$2:$ND$2,MATCH(A10,'[1]01-数据'!$C$1:$ND$1))," ")</f>
        <v>280.04</v>
      </c>
      <c r="C10" s="8">
        <f>IF(A10&lt;&gt;"",INDEX('[1]01-数据'!$C$3:$ND$3,MATCH(A10,'[1]01-数据'!$C$1:$ND$1))," ")</f>
        <v>1825.92</v>
      </c>
      <c r="D10" s="9">
        <f>IF(A10&lt;&gt;"",INDEX('[1]01-数据'!$C$4:$ND$4,MATCH(A10,'[1]01-数据'!$C$1:$ND$1))," ")</f>
        <v>0.0591</v>
      </c>
      <c r="E10" s="8">
        <f>IF(A10&lt;&gt;"",INDEX('[1]01-数据'!$C$6:$ND$6,MATCH(A10,'[1]01-数据'!$C$1:$ND$1))," ")</f>
        <v>40164.07</v>
      </c>
      <c r="F10" s="14">
        <f>IF(A10&lt;&gt;"",INDEX('[1]01-数据'!$C$7:$ND$7,MATCH(A10,'[1]01-数据'!$C$1:$ND$1))," ")</f>
        <v>0.0329</v>
      </c>
      <c r="G10" s="8">
        <f>IF(A10&lt;&gt;"",INDEX('[1]01-数据'!$C$11:$ND$11,MATCH(A10,'[1]01-数据'!$C$1:$ND$1))," ")</f>
        <v>12.25</v>
      </c>
      <c r="H10" s="8">
        <f>IF(A10&lt;&gt;"",INDEX('[1]01-数据'!$C$14:$ND$14,MATCH(A10,'[1]01-数据'!$C$1:$ND$1))," ")</f>
        <v>9.82</v>
      </c>
    </row>
    <row r="11" s="2" customFormat="1" spans="1:8">
      <c r="A11" s="27">
        <v>45451</v>
      </c>
      <c r="B11" s="8">
        <f>IF(A11&lt;&gt;"",INDEX('[1]01-数据'!$C$2:$ND$2,MATCH(A11,'[1]01-数据'!$C$1:$ND$1))," ")</f>
        <v>273.46</v>
      </c>
      <c r="C11" s="8">
        <f>IF(A11&lt;&gt;"",INDEX('[1]01-数据'!$C$3:$ND$3,MATCH(A11,'[1]01-数据'!$C$1:$ND$1))," ")</f>
        <v>2099.38</v>
      </c>
      <c r="D11" s="9">
        <f>IF(A11&lt;&gt;"",INDEX('[1]01-数据'!$C$4:$ND$4,MATCH(A11,'[1]01-数据'!$C$1:$ND$1))," ")</f>
        <v>0.0646</v>
      </c>
      <c r="E11" s="8">
        <f>IF(A11&lt;&gt;"",INDEX('[1]01-数据'!$C$6:$ND$6,MATCH(A11,'[1]01-数据'!$C$1:$ND$1))," ")</f>
        <v>40437.53</v>
      </c>
      <c r="F11" s="14">
        <f>IF(A11&lt;&gt;"",INDEX('[1]01-数据'!$C$7:$ND$7,MATCH(A11,'[1]01-数据'!$C$1:$ND$1))," ")</f>
        <v>0.0334</v>
      </c>
      <c r="G11" s="8">
        <f>IF(A11&lt;&gt;"",INDEX('[1]01-数据'!$C$11:$ND$11,MATCH(A11,'[1]01-数据'!$C$1:$ND$1))," ")</f>
        <v>11.86</v>
      </c>
      <c r="H11" s="8">
        <f>IF(A11&lt;&gt;"",INDEX('[1]01-数据'!$C$14:$ND$14,MATCH(A11,'[1]01-数据'!$C$1:$ND$1))," ")</f>
        <v>9.67</v>
      </c>
    </row>
    <row r="12" s="2" customFormat="1" spans="1:8">
      <c r="A12" s="28">
        <v>45452</v>
      </c>
      <c r="B12" s="11">
        <f>IF(A12&lt;&gt;"",INDEX('[1]01-数据'!$C$2:$ND$2,MATCH(A12,'[1]01-数据'!$C$1:$ND$1))," ")</f>
        <v>281.33</v>
      </c>
      <c r="C12" s="11">
        <f>IF(A12&lt;&gt;"",INDEX('[1]01-数据'!$C$3:$ND$3,MATCH(A12,'[1]01-数据'!$C$1:$ND$1))," ")</f>
        <v>2380.7</v>
      </c>
      <c r="D12" s="12">
        <f>IF(A12&lt;&gt;"",INDEX('[1]01-数据'!$C$4:$ND$4,MATCH(A12,'[1]01-数据'!$C$1:$ND$1))," ")</f>
        <v>0.0751</v>
      </c>
      <c r="E12" s="11">
        <f>IF(A12&lt;&gt;"",INDEX('[1]01-数据'!$C$6:$ND$6,MATCH(A12,'[1]01-数据'!$C$1:$ND$1))," ")</f>
        <v>40718.86</v>
      </c>
      <c r="F12" s="15">
        <f>IF(A12&lt;&gt;"",INDEX('[1]01-数据'!$C$7:$ND$7,MATCH(A12,'[1]01-数据'!$C$1:$ND$1))," ")</f>
        <v>0.0342</v>
      </c>
      <c r="G12" s="11">
        <f>IF(A12&lt;&gt;"",INDEX('[1]01-数据'!$C$11:$ND$11,MATCH(A12,'[1]01-数据'!$C$1:$ND$1))," ")</f>
        <v>12.49</v>
      </c>
      <c r="H12" s="11">
        <f>IF(A12&lt;&gt;"",INDEX('[1]01-数据'!$C$14:$ND$14,MATCH(A12,'[1]01-数据'!$C$1:$ND$1))," ")</f>
        <v>9.5</v>
      </c>
    </row>
    <row r="13" s="2" customFormat="1" spans="1:11">
      <c r="A13" s="28">
        <v>45453</v>
      </c>
      <c r="B13" s="11">
        <f>IF(A13&lt;&gt;"",INDEX('[1]01-数据'!$C$2:$ND$2,MATCH(A13,'[1]01-数据'!$C$1:$ND$1))," ")</f>
        <v>282.57</v>
      </c>
      <c r="C13" s="11">
        <f>IF(A13&lt;&gt;"",INDEX('[1]01-数据'!$C$3:$ND$3,MATCH(A13,'[1]01-数据'!$C$1:$ND$1))," ")</f>
        <v>2663.27</v>
      </c>
      <c r="D13" s="12">
        <f>IF(A13&lt;&gt;"",INDEX('[1]01-数据'!$C$4:$ND$4,MATCH(A13,'[1]01-数据'!$C$1:$ND$1))," ")</f>
        <v>0.0885</v>
      </c>
      <c r="E13" s="11">
        <f>IF(A13&lt;&gt;"",INDEX('[1]01-数据'!$C$6:$ND$6,MATCH(A13,'[1]01-数据'!$C$1:$ND$1))," ")</f>
        <v>41001.43</v>
      </c>
      <c r="F13" s="15">
        <f>IF(A13&lt;&gt;"",INDEX('[1]01-数据'!$C$7:$ND$7,MATCH(A13,'[1]01-数据'!$C$1:$ND$1))," ")</f>
        <v>0.0352</v>
      </c>
      <c r="G13" s="11">
        <f>IF(A13&lt;&gt;"",INDEX('[1]01-数据'!$C$11:$ND$11,MATCH(A13,'[1]01-数据'!$C$1:$ND$1))," ")</f>
        <v>12.37</v>
      </c>
      <c r="H13" s="11">
        <f>IF(A13&lt;&gt;"",INDEX('[1]01-数据'!$C$14:$ND$14,MATCH(A13,'[1]01-数据'!$C$1:$ND$1))," ")</f>
        <v>9.75</v>
      </c>
      <c r="K13" s="29"/>
    </row>
    <row r="14" s="2" customFormat="1" spans="1:11">
      <c r="A14" s="28">
        <v>45454</v>
      </c>
      <c r="B14" s="11">
        <f>IF(A14&lt;&gt;"",INDEX('[1]01-数据'!$C$2:$ND$2,MATCH(A14,'[1]01-数据'!$C$1:$ND$1))," ")</f>
        <v>283.3</v>
      </c>
      <c r="C14" s="11">
        <f>IF(A14&lt;&gt;"",INDEX('[1]01-数据'!$C$3:$ND$3,MATCH(A14,'[1]01-数据'!$C$1:$ND$1))," ")</f>
        <v>2946.57</v>
      </c>
      <c r="D14" s="12">
        <f>IF(A14&lt;&gt;"",INDEX('[1]01-数据'!$C$4:$ND$4,MATCH(A14,'[1]01-数据'!$C$1:$ND$1))," ")</f>
        <v>0.0901</v>
      </c>
      <c r="E14" s="11">
        <f>IF(A14&lt;&gt;"",INDEX('[1]01-数据'!$C$6:$ND$6,MATCH(A14,'[1]01-数据'!$C$1:$ND$1))," ")</f>
        <v>41284.72</v>
      </c>
      <c r="F14" s="15">
        <f>IF(A14&lt;&gt;"",INDEX('[1]01-数据'!$C$7:$ND$7,MATCH(A14,'[1]01-数据'!$C$1:$ND$1))," ")</f>
        <v>0.0357</v>
      </c>
      <c r="G14" s="11">
        <f>IF(A14&lt;&gt;"",INDEX('[1]01-数据'!$C$11:$ND$11,MATCH(A14,'[1]01-数据'!$C$1:$ND$1))," ")</f>
        <v>12.49</v>
      </c>
      <c r="H14" s="11">
        <f>IF(A14&lt;&gt;"",INDEX('[1]01-数据'!$C$14:$ND$14,MATCH(A14,'[1]01-数据'!$C$1:$ND$1))," ")</f>
        <v>9.79</v>
      </c>
      <c r="K14" s="29"/>
    </row>
    <row r="15" s="2" customFormat="1" spans="1:11">
      <c r="A15" s="28">
        <v>45455</v>
      </c>
      <c r="B15" s="11">
        <f>IF(A15&lt;&gt;"",INDEX('[1]01-数据'!$C$2:$ND$2,MATCH(A15,'[1]01-数据'!$C$1:$ND$1))," ")</f>
        <v>284.1</v>
      </c>
      <c r="C15" s="11">
        <f>IF(A15&lt;&gt;"",INDEX('[1]01-数据'!$C$3:$ND$3,MATCH(A15,'[1]01-数据'!$C$1:$ND$1))," ")</f>
        <v>3230.67</v>
      </c>
      <c r="D15" s="12">
        <f>IF(A15&lt;&gt;"",INDEX('[1]01-数据'!$C$4:$ND$4,MATCH(A15,'[1]01-数据'!$C$1:$ND$1))," ")</f>
        <v>0.0862</v>
      </c>
      <c r="E15" s="11">
        <f>IF(A15&lt;&gt;"",INDEX('[1]01-数据'!$C$6:$ND$6,MATCH(A15,'[1]01-数据'!$C$1:$ND$1))," ")</f>
        <v>41568.83</v>
      </c>
      <c r="F15" s="15">
        <f>IF(A15&lt;&gt;"",INDEX('[1]01-数据'!$C$7:$ND$7,MATCH(A15,'[1]01-数据'!$C$1:$ND$1))," ")</f>
        <v>0.0358</v>
      </c>
      <c r="G15" s="11">
        <f>IF(A15&lt;&gt;"",INDEX('[1]01-数据'!$C$11:$ND$11,MATCH(A15,'[1]01-数据'!$C$1:$ND$1))," ")</f>
        <v>12.47</v>
      </c>
      <c r="H15" s="11">
        <f>IF(A15&lt;&gt;"",INDEX('[1]01-数据'!$C$14:$ND$14,MATCH(A15,'[1]01-数据'!$C$1:$ND$1))," ")</f>
        <v>9.76</v>
      </c>
      <c r="K15" s="29"/>
    </row>
    <row r="16" s="2" customFormat="1" spans="1:8">
      <c r="A16" s="28">
        <v>45456</v>
      </c>
      <c r="B16" s="11">
        <f>IF(A16&lt;&gt;"",INDEX('[1]01-数据'!$C$2:$ND$2,MATCH(A16,'[1]01-数据'!$C$1:$ND$1))," ")</f>
        <v>289.07</v>
      </c>
      <c r="C16" s="11">
        <f>IF(A16&lt;&gt;"",INDEX('[1]01-数据'!$C$3:$ND$3,MATCH(A16,'[1]01-数据'!$C$1:$ND$1))," ")</f>
        <v>3519.74</v>
      </c>
      <c r="D16" s="12">
        <f>IF(A16&lt;&gt;"",INDEX('[1]01-数据'!$C$4:$ND$4,MATCH(A16,'[1]01-数据'!$C$1:$ND$1))," ")</f>
        <v>0.0817</v>
      </c>
      <c r="E16" s="11">
        <f>IF(A16&lt;&gt;"",INDEX('[1]01-数据'!$C$6:$ND$6,MATCH(A16,'[1]01-数据'!$C$1:$ND$1))," ")</f>
        <v>41857.9</v>
      </c>
      <c r="F16" s="15">
        <f>IF(A16&lt;&gt;"",INDEX('[1]01-数据'!$C$7:$ND$7,MATCH(A16,'[1]01-数据'!$C$1:$ND$1))," ")</f>
        <v>0.0357</v>
      </c>
      <c r="G16" s="11">
        <f>IF(A16&lt;&gt;"",INDEX('[1]01-数据'!$C$11:$ND$11,MATCH(A16,'[1]01-数据'!$C$1:$ND$1))," ")</f>
        <v>12.72</v>
      </c>
      <c r="H16" s="11">
        <f>IF(A16&lt;&gt;"",INDEX('[1]01-数据'!$C$14:$ND$14,MATCH(A16,'[1]01-数据'!$C$1:$ND$1))," ")</f>
        <v>9.82</v>
      </c>
    </row>
    <row r="17" s="2" customFormat="1" spans="1:8">
      <c r="A17" s="27">
        <v>45457</v>
      </c>
      <c r="B17" s="8">
        <f>IF(A17&lt;&gt;"",INDEX('[1]01-数据'!$C$2:$ND$2,MATCH(A17,'[1]01-数据'!$C$1:$ND$1))," ")</f>
        <v>283.74</v>
      </c>
      <c r="C17" s="8">
        <f>IF(A17&lt;&gt;"",INDEX('[1]01-数据'!$C$3:$ND$3,MATCH(A17,'[1]01-数据'!$C$1:$ND$1))," ")</f>
        <v>3803.48</v>
      </c>
      <c r="D17" s="9">
        <f>IF(A17&lt;&gt;"",INDEX('[1]01-数据'!$C$4:$ND$4,MATCH(A17,'[1]01-数据'!$C$1:$ND$1))," ")</f>
        <v>0.0758</v>
      </c>
      <c r="E17" s="8">
        <f>IF(A17&lt;&gt;"",INDEX('[1]01-数据'!$C$6:$ND$6,MATCH(A17,'[1]01-数据'!$C$1:$ND$1))," ")</f>
        <v>42141.64</v>
      </c>
      <c r="F17" s="14">
        <f>IF(A17&lt;&gt;"",INDEX('[1]01-数据'!$C$7:$ND$7,MATCH(A17,'[1]01-数据'!$C$1:$ND$1))," ")</f>
        <v>0.0356</v>
      </c>
      <c r="G17" s="8">
        <f>IF(A17&lt;&gt;"",INDEX('[1]01-数据'!$C$11:$ND$11,MATCH(A17,'[1]01-数据'!$C$1:$ND$1))," ")</f>
        <v>12.6</v>
      </c>
      <c r="H17" s="8">
        <f>IF(A17&lt;&gt;"",INDEX('[1]01-数据'!$C$14:$ND$14,MATCH(A17,'[1]01-数据'!$C$1:$ND$1))," ")</f>
        <v>9.99</v>
      </c>
    </row>
    <row r="18" s="2" customFormat="1" spans="1:8">
      <c r="A18" s="27">
        <v>45458</v>
      </c>
      <c r="B18" s="8">
        <f>IF(A18&lt;&gt;"",INDEX('[1]01-数据'!$C$2:$ND$2,MATCH(A18,'[1]01-数据'!$C$1:$ND$1))," ")</f>
        <v>269.12</v>
      </c>
      <c r="C18" s="8">
        <f>IF(A18&lt;&gt;"",INDEX('[1]01-数据'!$C$3:$ND$3,MATCH(A18,'[1]01-数据'!$C$1:$ND$1))," ")</f>
        <v>4072.6</v>
      </c>
      <c r="D18" s="9">
        <f>IF(A18&lt;&gt;"",INDEX('[1]01-数据'!$C$4:$ND$4,MATCH(A18,'[1]01-数据'!$C$1:$ND$1))," ")</f>
        <v>0.0677</v>
      </c>
      <c r="E18" s="8">
        <f>IF(A18&lt;&gt;"",INDEX('[1]01-数据'!$C$6:$ND$6,MATCH(A18,'[1]01-数据'!$C$1:$ND$1))," ")</f>
        <v>42410.75</v>
      </c>
      <c r="F18" s="14">
        <f>IF(A18&lt;&gt;"",INDEX('[1]01-数据'!$C$7:$ND$7,MATCH(A18,'[1]01-数据'!$C$1:$ND$1))," ")</f>
        <v>0.0351</v>
      </c>
      <c r="G18" s="8">
        <f>IF(A18&lt;&gt;"",INDEX('[1]01-数据'!$C$11:$ND$11,MATCH(A18,'[1]01-数据'!$C$1:$ND$1))," ")</f>
        <v>11.63</v>
      </c>
      <c r="H18" s="8">
        <f>IF(A18&lt;&gt;"",INDEX('[1]01-数据'!$C$14:$ND$14,MATCH(A18,'[1]01-数据'!$C$1:$ND$1))," ")</f>
        <v>9.6</v>
      </c>
    </row>
    <row r="19" s="2" customFormat="1" spans="1:8">
      <c r="A19" s="28">
        <v>45459</v>
      </c>
      <c r="B19" s="11">
        <f>IF(A19&lt;&gt;"",INDEX('[1]01-数据'!$C$2:$ND$2,MATCH(A19,'[1]01-数据'!$C$1:$ND$1))," ")</f>
        <v>280.05</v>
      </c>
      <c r="C19" s="11">
        <f>IF(A19&lt;&gt;"",INDEX('[1]01-数据'!$C$3:$ND$3,MATCH(A19,'[1]01-数据'!$C$1:$ND$1))," ")</f>
        <v>4352.64</v>
      </c>
      <c r="D19" s="12">
        <f>IF(A19&lt;&gt;"",INDEX('[1]01-数据'!$C$4:$ND$4,MATCH(A19,'[1]01-数据'!$C$1:$ND$1))," ")</f>
        <v>0.0666</v>
      </c>
      <c r="E19" s="11">
        <f>IF(A19&lt;&gt;"",INDEX('[1]01-数据'!$C$6:$ND$6,MATCH(A19,'[1]01-数据'!$C$1:$ND$1))," ")</f>
        <v>42690.8</v>
      </c>
      <c r="F19" s="15">
        <f>IF(A19&lt;&gt;"",INDEX('[1]01-数据'!$C$7:$ND$7,MATCH(A19,'[1]01-数据'!$C$1:$ND$1))," ")</f>
        <v>0.0352</v>
      </c>
      <c r="G19" s="11">
        <f>IF(A19&lt;&gt;"",INDEX('[1]01-数据'!$C$11:$ND$11,MATCH(A19,'[1]01-数据'!$C$1:$ND$1))," ")</f>
        <v>12.34</v>
      </c>
      <c r="H19" s="11">
        <f>IF(A19&lt;&gt;"",INDEX('[1]01-数据'!$C$14:$ND$14,MATCH(A19,'[1]01-数据'!$C$1:$ND$1))," ")</f>
        <v>9.34</v>
      </c>
    </row>
    <row r="20" s="2" customFormat="1" spans="1:8">
      <c r="A20" s="28">
        <v>45460</v>
      </c>
      <c r="B20" s="11">
        <f>IF(A20&lt;&gt;"",INDEX('[1]01-数据'!$C$2:$ND$2,MATCH(A20,'[1]01-数据'!$C$1:$ND$1))," ")</f>
        <v>290.93</v>
      </c>
      <c r="C20" s="11">
        <f>IF(A20&lt;&gt;"",INDEX('[1]01-数据'!$C$3:$ND$3,MATCH(A20,'[1]01-数据'!$C$1:$ND$1))," ")</f>
        <v>4643.58</v>
      </c>
      <c r="D20" s="12">
        <f>IF(A20&lt;&gt;"",INDEX('[1]01-数据'!$C$4:$ND$4,MATCH(A20,'[1]01-数据'!$C$1:$ND$1))," ")</f>
        <v>0.0667</v>
      </c>
      <c r="E20" s="11">
        <f>IF(A20&lt;&gt;"",INDEX('[1]01-数据'!$C$6:$ND$6,MATCH(A20,'[1]01-数据'!$C$1:$ND$1))," ")</f>
        <v>42981.73</v>
      </c>
      <c r="F20" s="15">
        <f>IF(A20&lt;&gt;"",INDEX('[1]01-数据'!$C$7:$ND$7,MATCH(A20,'[1]01-数据'!$C$1:$ND$1))," ")</f>
        <v>0.0354</v>
      </c>
      <c r="G20" s="11">
        <f>IF(A20&lt;&gt;"",INDEX('[1]01-数据'!$C$11:$ND$11,MATCH(A20,'[1]01-数据'!$C$1:$ND$1))," ")</f>
        <v>12.8</v>
      </c>
      <c r="H20" s="11">
        <f>IF(A20&lt;&gt;"",INDEX('[1]01-数据'!$C$14:$ND$14,MATCH(A20,'[1]01-数据'!$C$1:$ND$1))," ")</f>
        <v>9.75</v>
      </c>
    </row>
    <row r="21" s="2" customFormat="1" spans="1:8">
      <c r="A21" s="28">
        <v>45461</v>
      </c>
      <c r="B21" s="11">
        <f>IF(A21&lt;&gt;"",INDEX('[1]01-数据'!$C$2:$ND$2,MATCH(A21,'[1]01-数据'!$C$1:$ND$1))," ")</f>
        <v>294.43</v>
      </c>
      <c r="C21" s="11">
        <f>IF(A21&lt;&gt;"",INDEX('[1]01-数据'!$C$3:$ND$3,MATCH(A21,'[1]01-数据'!$C$1:$ND$1))," ")</f>
        <v>4938.01</v>
      </c>
      <c r="D21" s="12">
        <f>IF(A21&lt;&gt;"",INDEX('[1]01-数据'!$C$4:$ND$4,MATCH(A21,'[1]01-数据'!$C$1:$ND$1))," ")</f>
        <v>0.0666</v>
      </c>
      <c r="E21" s="11">
        <f>IF(A21&lt;&gt;"",INDEX('[1]01-数据'!$C$6:$ND$6,MATCH(A21,'[1]01-数据'!$C$1:$ND$1))," ")</f>
        <v>43276.17</v>
      </c>
      <c r="F21" s="15">
        <f>IF(A21&lt;&gt;"",INDEX('[1]01-数据'!$C$7:$ND$7,MATCH(A21,'[1]01-数据'!$C$1:$ND$1))," ")</f>
        <v>0.0356</v>
      </c>
      <c r="G21" s="11">
        <f>IF(A21&lt;&gt;"",INDEX('[1]01-数据'!$C$11:$ND$11,MATCH(A21,'[1]01-数据'!$C$1:$ND$1))," ")</f>
        <v>13.1</v>
      </c>
      <c r="H21" s="11">
        <f>IF(A21&lt;&gt;"",INDEX('[1]01-数据'!$C$14:$ND$14,MATCH(A21,'[1]01-数据'!$C$1:$ND$1))," ")</f>
        <v>10.06</v>
      </c>
    </row>
    <row r="22" s="2" customFormat="1" spans="1:8">
      <c r="A22" s="28">
        <v>45462</v>
      </c>
      <c r="B22" s="11">
        <f>IF(A22&lt;&gt;"",INDEX('[1]01-数据'!$C$2:$ND$2,MATCH(A22,'[1]01-数据'!$C$1:$ND$1))," ")</f>
        <v>289.05</v>
      </c>
      <c r="C22" s="11">
        <f>IF(A22&lt;&gt;"",INDEX('[1]01-数据'!$C$3:$ND$3,MATCH(A22,'[1]01-数据'!$C$1:$ND$1))," ")</f>
        <v>5227.06</v>
      </c>
      <c r="D22" s="12">
        <f>IF(A22&lt;&gt;"",INDEX('[1]01-数据'!$C$4:$ND$4,MATCH(A22,'[1]01-数据'!$C$1:$ND$1))," ")</f>
        <v>0.0654</v>
      </c>
      <c r="E22" s="11">
        <f>IF(A22&lt;&gt;"",INDEX('[1]01-数据'!$C$6:$ND$6,MATCH(A22,'[1]01-数据'!$C$1:$ND$1))," ")</f>
        <v>43565.22</v>
      </c>
      <c r="F22" s="15">
        <f>IF(A22&lt;&gt;"",INDEX('[1]01-数据'!$C$7:$ND$7,MATCH(A22,'[1]01-数据'!$C$1:$ND$1))," ")</f>
        <v>0.0357</v>
      </c>
      <c r="G22" s="11">
        <f>IF(A22&lt;&gt;"",INDEX('[1]01-数据'!$C$11:$ND$11,MATCH(A22,'[1]01-数据'!$C$1:$ND$1))," ")</f>
        <v>12.85</v>
      </c>
      <c r="H22" s="11">
        <f>IF(A22&lt;&gt;"",INDEX('[1]01-数据'!$C$14:$ND$14,MATCH(A22,'[1]01-数据'!$C$1:$ND$1))," ")</f>
        <v>9.98</v>
      </c>
    </row>
    <row r="23" s="2" customFormat="1" spans="1:8">
      <c r="A23" s="28">
        <v>45463</v>
      </c>
      <c r="B23" s="11">
        <f>IF(A23&lt;&gt;"",INDEX('[1]01-数据'!$C$2:$ND$2,MATCH(A23,'[1]01-数据'!$C$1:$ND$1))," ")</f>
        <v>288.91</v>
      </c>
      <c r="C23" s="11">
        <f>IF(A23&lt;&gt;"",INDEX('[1]01-数据'!$C$3:$ND$3,MATCH(A23,'[1]01-数据'!$C$1:$ND$1))," ")</f>
        <v>5515.97</v>
      </c>
      <c r="D23" s="12">
        <f>IF(A23&lt;&gt;"",INDEX('[1]01-数据'!$C$4:$ND$4,MATCH(A23,'[1]01-数据'!$C$1:$ND$1))," ")</f>
        <v>0.0635</v>
      </c>
      <c r="E23" s="11">
        <f>IF(A23&lt;&gt;"",INDEX('[1]01-数据'!$C$6:$ND$6,MATCH(A23,'[1]01-数据'!$C$1:$ND$1))," ")</f>
        <v>43854.13</v>
      </c>
      <c r="F23" s="15">
        <f>IF(A23&lt;&gt;"",INDEX('[1]01-数据'!$C$7:$ND$7,MATCH(A23,'[1]01-数据'!$C$1:$ND$1))," ")</f>
        <v>0.0356</v>
      </c>
      <c r="G23" s="11">
        <f>IF(A23&lt;&gt;"",INDEX('[1]01-数据'!$C$11:$ND$11,MATCH(A23,'[1]01-数据'!$C$1:$ND$1))," ")</f>
        <v>12.82</v>
      </c>
      <c r="H23" s="11">
        <f>IF(A23&lt;&gt;"",INDEX('[1]01-数据'!$C$14:$ND$14,MATCH(A23,'[1]01-数据'!$C$1:$ND$1))," ")</f>
        <v>9.84</v>
      </c>
    </row>
    <row r="24" s="2" customFormat="1" spans="1:8">
      <c r="A24" s="27">
        <v>45464</v>
      </c>
      <c r="B24" s="8">
        <f>IF(A24&lt;&gt;"",INDEX('[1]01-数据'!$C$2:$ND$2,MATCH(A24,'[1]01-数据'!$C$1:$ND$1))," ")</f>
        <v>282.64</v>
      </c>
      <c r="C24" s="8">
        <f>IF(A24&lt;&gt;"",INDEX('[1]01-数据'!$C$3:$ND$3,MATCH(A24,'[1]01-数据'!$C$1:$ND$1))," ")</f>
        <v>5798.61</v>
      </c>
      <c r="D24" s="9">
        <f>IF(A24&lt;&gt;"",INDEX('[1]01-数据'!$C$4:$ND$4,MATCH(A24,'[1]01-数据'!$C$1:$ND$1))," ")</f>
        <v>0.0606</v>
      </c>
      <c r="E24" s="8">
        <f>IF(A24&lt;&gt;"",INDEX('[1]01-数据'!$C$6:$ND$6,MATCH(A24,'[1]01-数据'!$C$1:$ND$1))," ")</f>
        <v>44136.77</v>
      </c>
      <c r="F24" s="14">
        <f>IF(A24&lt;&gt;"",INDEX('[1]01-数据'!$C$7:$ND$7,MATCH(A24,'[1]01-数据'!$C$1:$ND$1))," ")</f>
        <v>0.0354</v>
      </c>
      <c r="G24" s="8">
        <f>IF(A24&lt;&gt;"",INDEX('[1]01-数据'!$C$11:$ND$11,MATCH(A24,'[1]01-数据'!$C$1:$ND$1))," ")</f>
        <v>12.51</v>
      </c>
      <c r="H24" s="8">
        <f>IF(A24&lt;&gt;"",INDEX('[1]01-数据'!$C$14:$ND$14,MATCH(A24,'[1]01-数据'!$C$1:$ND$1))," ")</f>
        <v>9.87</v>
      </c>
    </row>
    <row r="25" s="2" customFormat="1" spans="1:8">
      <c r="A25" s="27">
        <v>45465</v>
      </c>
      <c r="B25" s="8">
        <f>IF(A25&lt;&gt;"",INDEX('[1]01-数据'!$C$2:$ND$2,MATCH(A25,'[1]01-数据'!$C$1:$ND$1))," ")</f>
        <v>273.42</v>
      </c>
      <c r="C25" s="8">
        <f>IF(A25&lt;&gt;"",INDEX('[1]01-数据'!$C$3:$ND$3,MATCH(A25,'[1]01-数据'!$C$1:$ND$1))," ")</f>
        <v>6072.03</v>
      </c>
      <c r="D25" s="9">
        <f>IF(A25&lt;&gt;"",INDEX('[1]01-数据'!$C$4:$ND$4,MATCH(A25,'[1]01-数据'!$C$1:$ND$1))," ")</f>
        <v>0.0568</v>
      </c>
      <c r="E25" s="8">
        <f>IF(A25&lt;&gt;"",INDEX('[1]01-数据'!$C$6:$ND$6,MATCH(A25,'[1]01-数据'!$C$1:$ND$1))," ")</f>
        <v>44410.19</v>
      </c>
      <c r="F25" s="14">
        <f>IF(A25&lt;&gt;"",INDEX('[1]01-数据'!$C$7:$ND$7,MATCH(A25,'[1]01-数据'!$C$1:$ND$1))," ")</f>
        <v>0.0351</v>
      </c>
      <c r="G25" s="8">
        <f>IF(A25&lt;&gt;"",INDEX('[1]01-数据'!$C$11:$ND$11,MATCH(A25,'[1]01-数据'!$C$1:$ND$1))," ")</f>
        <v>11.9</v>
      </c>
      <c r="H25" s="8">
        <f>IF(A25&lt;&gt;"",INDEX('[1]01-数据'!$C$14:$ND$14,MATCH(A25,'[1]01-数据'!$C$1:$ND$1))," ")</f>
        <v>9.63</v>
      </c>
    </row>
    <row r="26" s="2" customFormat="1" spans="1:8">
      <c r="A26" s="28">
        <v>45466</v>
      </c>
      <c r="B26" s="11">
        <f>IF(A26&lt;&gt;"",INDEX('[1]01-数据'!$C$2:$ND$2,MATCH(A26,'[1]01-数据'!$C$1:$ND$1))," ")</f>
        <v>282.9</v>
      </c>
      <c r="C26" s="11">
        <f>IF(A26&lt;&gt;"",INDEX('[1]01-数据'!$C$3:$ND$3,MATCH(A26,'[1]01-数据'!$C$1:$ND$1))," ")</f>
        <v>6354.93</v>
      </c>
      <c r="D26" s="12">
        <f>IF(A26&lt;&gt;"",INDEX('[1]01-数据'!$C$4:$ND$4,MATCH(A26,'[1]01-数据'!$C$1:$ND$1))," ")</f>
        <v>0.0564</v>
      </c>
      <c r="E26" s="11">
        <f>IF(A26&lt;&gt;"",INDEX('[1]01-数据'!$C$6:$ND$6,MATCH(A26,'[1]01-数据'!$C$1:$ND$1))," ")</f>
        <v>44693.08</v>
      </c>
      <c r="F26" s="15">
        <f>IF(A26&lt;&gt;"",INDEX('[1]01-数据'!$C$7:$ND$7,MATCH(A26,'[1]01-数据'!$C$1:$ND$1))," ")</f>
        <v>0.0352</v>
      </c>
      <c r="G26" s="11">
        <f>IF(A26&lt;&gt;"",INDEX('[1]01-数据'!$C$11:$ND$11,MATCH(A26,'[1]01-数据'!$C$1:$ND$1))," ")</f>
        <v>12.66</v>
      </c>
      <c r="H26" s="11">
        <f>IF(A26&lt;&gt;"",INDEX('[1]01-数据'!$C$14:$ND$14,MATCH(A26,'[1]01-数据'!$C$1:$ND$1))," ")</f>
        <v>9.51</v>
      </c>
    </row>
    <row r="27" s="2" customFormat="1" spans="1:8">
      <c r="A27" s="28">
        <v>45467</v>
      </c>
      <c r="B27" s="11">
        <f>IF(A27&lt;&gt;"",INDEX('[1]01-数据'!$C$2:$ND$2,MATCH(A27,'[1]01-数据'!$C$1:$ND$1))," ")</f>
        <v>285.8</v>
      </c>
      <c r="C27" s="11">
        <f>IF(A27&lt;&gt;"",INDEX('[1]01-数据'!$C$3:$ND$3,MATCH(A27,'[1]01-数据'!$C$1:$ND$1))," ")</f>
        <v>6640.73</v>
      </c>
      <c r="D27" s="12">
        <f>IF(A27&lt;&gt;"",INDEX('[1]01-数据'!$C$4:$ND$4,MATCH(A27,'[1]01-数据'!$C$1:$ND$1))," ")</f>
        <v>0.0558</v>
      </c>
      <c r="E27" s="11">
        <f>IF(A27&lt;&gt;"",INDEX('[1]01-数据'!$C$6:$ND$6,MATCH(A27,'[1]01-数据'!$C$1:$ND$1))," ")</f>
        <v>44978.88</v>
      </c>
      <c r="F27" s="15">
        <f>IF(A27&lt;&gt;"",INDEX('[1]01-数据'!$C$7:$ND$7,MATCH(A27,'[1]01-数据'!$C$1:$ND$1))," ")</f>
        <v>0.0352</v>
      </c>
      <c r="G27" s="11">
        <f>IF(A27&lt;&gt;"",INDEX('[1]01-数据'!$C$11:$ND$11,MATCH(A27,'[1]01-数据'!$C$1:$ND$1))," ")</f>
        <v>12.66</v>
      </c>
      <c r="H27" s="11">
        <f>IF(A27&lt;&gt;"",INDEX('[1]01-数据'!$C$14:$ND$14,MATCH(A27,'[1]01-数据'!$C$1:$ND$1))," ")</f>
        <v>9.74</v>
      </c>
    </row>
    <row r="28" s="2" customFormat="1" spans="1:8">
      <c r="A28" s="28">
        <v>45468</v>
      </c>
      <c r="B28" s="11">
        <f>IF(A28&lt;&gt;"",INDEX('[1]01-数据'!$C$2:$ND$2,MATCH(A28,'[1]01-数据'!$C$1:$ND$1))," ")</f>
        <v>288.49</v>
      </c>
      <c r="C28" s="11">
        <f>IF(A28&lt;&gt;"",INDEX('[1]01-数据'!$C$3:$ND$3,MATCH(A28,'[1]01-数据'!$C$1:$ND$1))," ")</f>
        <v>6929.22</v>
      </c>
      <c r="D28" s="12">
        <f>IF(A28&lt;&gt;"",INDEX('[1]01-数据'!$C$4:$ND$4,MATCH(A28,'[1]01-数据'!$C$1:$ND$1))," ")</f>
        <v>0.0557</v>
      </c>
      <c r="E28" s="11">
        <f>IF(A28&lt;&gt;"",INDEX('[1]01-数据'!$C$6:$ND$6,MATCH(A28,'[1]01-数据'!$C$1:$ND$1))," ")</f>
        <v>45267.37</v>
      </c>
      <c r="F28" s="15">
        <f>IF(A28&lt;&gt;"",INDEX('[1]01-数据'!$C$7:$ND$7,MATCH(A28,'[1]01-数据'!$C$1:$ND$1))," ")</f>
        <v>0.0353</v>
      </c>
      <c r="G28" s="11">
        <f>IF(A28&lt;&gt;"",INDEX('[1]01-数据'!$C$11:$ND$11,MATCH(A28,'[1]01-数据'!$C$1:$ND$1))," ")</f>
        <v>12.72</v>
      </c>
      <c r="H28" s="11">
        <f>IF(A28&lt;&gt;"",INDEX('[1]01-数据'!$C$14:$ND$14,MATCH(A28,'[1]01-数据'!$C$1:$ND$1))," ")</f>
        <v>9.84</v>
      </c>
    </row>
    <row r="29" s="2" customFormat="1" spans="1:8">
      <c r="A29" s="28">
        <v>45469</v>
      </c>
      <c r="B29" s="11">
        <f>IF(A29&lt;&gt;"",INDEX('[1]01-数据'!$C$2:$ND$2,MATCH(A29,'[1]01-数据'!$C$1:$ND$1))," ")</f>
        <v>290.22</v>
      </c>
      <c r="C29" s="11">
        <f>IF(A29&lt;&gt;"",INDEX('[1]01-数据'!$C$3:$ND$3,MATCH(A29,'[1]01-数据'!$C$1:$ND$1))," ")</f>
        <v>7219.44</v>
      </c>
      <c r="D29" s="12">
        <f>IF(A29&lt;&gt;"",INDEX('[1]01-数据'!$C$4:$ND$4,MATCH(A29,'[1]01-数据'!$C$1:$ND$1))," ")</f>
        <v>0.0559</v>
      </c>
      <c r="E29" s="11">
        <f>IF(A29&lt;&gt;"",INDEX('[1]01-数据'!$C$6:$ND$6,MATCH(A29,'[1]01-数据'!$C$1:$ND$1))," ")</f>
        <v>45557.6</v>
      </c>
      <c r="F29" s="15">
        <f>IF(A29&lt;&gt;"",INDEX('[1]01-数据'!$C$7:$ND$7,MATCH(A29,'[1]01-数据'!$C$1:$ND$1))," ")</f>
        <v>0.0355</v>
      </c>
      <c r="G29" s="11">
        <f>IF(A29&lt;&gt;"",INDEX('[1]01-数据'!$C$11:$ND$11,MATCH(A29,'[1]01-数据'!$C$1:$ND$1))," ")</f>
        <v>12.86</v>
      </c>
      <c r="H29" s="11">
        <f>IF(A29&lt;&gt;"",INDEX('[1]01-数据'!$C$14:$ND$14,MATCH(A29,'[1]01-数据'!$C$1:$ND$1))," ")</f>
        <v>9.93</v>
      </c>
    </row>
    <row r="30" s="2" customFormat="1" spans="1:8">
      <c r="A30" s="28">
        <v>45470</v>
      </c>
      <c r="B30" s="11">
        <f>IF(A30&lt;&gt;"",INDEX('[1]01-数据'!$C$2:$ND$2,MATCH(A30,'[1]01-数据'!$C$1:$ND$1))," ")</f>
        <v>289.84</v>
      </c>
      <c r="C30" s="11">
        <f>IF(A30&lt;&gt;"",INDEX('[1]01-数据'!$C$3:$ND$3,MATCH(A30,'[1]01-数据'!$C$1:$ND$1))," ")</f>
        <v>7509.28</v>
      </c>
      <c r="D30" s="12">
        <f>IF(A30&lt;&gt;"",INDEX('[1]01-数据'!$C$4:$ND$4,MATCH(A30,'[1]01-数据'!$C$1:$ND$1))," ")</f>
        <v>0.0561</v>
      </c>
      <c r="E30" s="11">
        <f>IF(A30&lt;&gt;"",INDEX('[1]01-数据'!$C$6:$ND$6,MATCH(A30,'[1]01-数据'!$C$1:$ND$1))," ")</f>
        <v>45847.44</v>
      </c>
      <c r="F30" s="15">
        <f>IF(A30&lt;&gt;"",INDEX('[1]01-数据'!$C$7:$ND$7,MATCH(A30,'[1]01-数据'!$C$1:$ND$1))," ")</f>
        <v>0.0356</v>
      </c>
      <c r="G30" s="11">
        <f>IF(A30&lt;&gt;"",INDEX('[1]01-数据'!$C$11:$ND$11,MATCH(A30,'[1]01-数据'!$C$1:$ND$1))," ")</f>
        <v>13.01</v>
      </c>
      <c r="H30" s="11">
        <f>IF(A30&lt;&gt;"",INDEX('[1]01-数据'!$C$14:$ND$14,MATCH(A30,'[1]01-数据'!$C$1:$ND$1))," ")</f>
        <v>9.88</v>
      </c>
    </row>
    <row r="31" s="2" customFormat="1" spans="1:8">
      <c r="A31" s="27">
        <v>45471</v>
      </c>
      <c r="B31" s="8">
        <f>IF(A31&lt;&gt;"",INDEX('[1]01-数据'!$C$2:$ND$2,MATCH(A31,'[1]01-数据'!$C$1:$ND$1))," ")</f>
        <v>287.45</v>
      </c>
      <c r="C31" s="8">
        <f>IF(A31&lt;&gt;"",INDEX('[1]01-数据'!$C$3:$ND$3,MATCH(A31,'[1]01-数据'!$C$1:$ND$1))," ")</f>
        <v>7796.73</v>
      </c>
      <c r="D31" s="9">
        <f>IF(A31&lt;&gt;"",INDEX('[1]01-数据'!$C$4:$ND$4,MATCH(A31,'[1]01-数据'!$C$1:$ND$1))," ")</f>
        <v>0.0555</v>
      </c>
      <c r="E31" s="8">
        <f>IF(A31&lt;&gt;"",INDEX('[1]01-数据'!$C$6:$ND$6,MATCH(A31,'[1]01-数据'!$C$1:$ND$1))," ")</f>
        <v>46134.89</v>
      </c>
      <c r="F31" s="14">
        <f>IF(A31&lt;&gt;"",INDEX('[1]01-数据'!$C$7:$ND$7,MATCH(A31,'[1]01-数据'!$C$1:$ND$1))," ")</f>
        <v>0.0357</v>
      </c>
      <c r="G31" s="8">
        <f>IF(A31&lt;&gt;"",INDEX('[1]01-数据'!$C$11:$ND$11,MATCH(A31,'[1]01-数据'!$C$1:$ND$1))," ")</f>
        <v>12.71</v>
      </c>
      <c r="H31" s="8">
        <f>IF(A31&lt;&gt;"",INDEX('[1]01-数据'!$C$14:$ND$14,MATCH(A31,'[1]01-数据'!$C$1:$ND$1))," ")</f>
        <v>9.89</v>
      </c>
    </row>
    <row r="32" s="2" customFormat="1" spans="1:8">
      <c r="A32" s="27">
        <v>45472</v>
      </c>
      <c r="B32" s="8">
        <f>IF(A32&lt;&gt;"",INDEX('[1]01-数据'!$C$2:$ND$2,MATCH(A32,'[1]01-数据'!$C$1:$ND$1))," ")</f>
        <v>279.7</v>
      </c>
      <c r="C32" s="8">
        <f>IF(A32&lt;&gt;"",INDEX('[1]01-数据'!$C$3:$ND$3,MATCH(A32,'[1]01-数据'!$C$1:$ND$1))," ")</f>
        <v>8076.43</v>
      </c>
      <c r="D32" s="9">
        <f>IF(A32&lt;&gt;"",INDEX('[1]01-数据'!$C$4:$ND$4,MATCH(A32,'[1]01-数据'!$C$1:$ND$1))," ")</f>
        <v>0.0543</v>
      </c>
      <c r="E32" s="8">
        <f>IF(A32&lt;&gt;"",INDEX('[1]01-数据'!$C$6:$ND$6,MATCH(A32,'[1]01-数据'!$C$1:$ND$1))," ")</f>
        <v>46414.59</v>
      </c>
      <c r="F32" s="14">
        <f>IF(A32&lt;&gt;"",INDEX('[1]01-数据'!$C$7:$ND$7,MATCH(A32,'[1]01-数据'!$C$1:$ND$1))," ")</f>
        <v>0.0356</v>
      </c>
      <c r="G32" s="8">
        <f>IF(A32&lt;&gt;"",INDEX('[1]01-数据'!$C$11:$ND$11,MATCH(A32,'[1]01-数据'!$C$1:$ND$1))," ")</f>
        <v>12.23</v>
      </c>
      <c r="H32" s="8">
        <f>IF(A32&lt;&gt;"",INDEX('[1]01-数据'!$C$14:$ND$14,MATCH(A32,'[1]01-数据'!$C$1:$ND$1))," ")</f>
        <v>9.81</v>
      </c>
    </row>
    <row r="33" s="2" customFormat="1" spans="1:8">
      <c r="A33" s="28">
        <v>45473</v>
      </c>
      <c r="B33" s="11">
        <f>IF(A33&lt;&gt;"",INDEX('[1]01-数据'!$C$2:$ND$2,MATCH(A33,'[1]01-数据'!$C$1:$ND$1))," ")</f>
        <v>291.61</v>
      </c>
      <c r="C33" s="11">
        <f>IF(A33&lt;&gt;"",INDEX('[1]01-数据'!$C$3:$ND$3,MATCH(A33,'[1]01-数据'!$C$1:$ND$1))," ")</f>
        <v>8368.04</v>
      </c>
      <c r="D33" s="12">
        <f>IF(A33&lt;&gt;"",INDEX('[1]01-数据'!$C$4:$ND$4,MATCH(A33,'[1]01-数据'!$C$1:$ND$1))," ")</f>
        <v>0.0551</v>
      </c>
      <c r="E33" s="11">
        <f>IF(A33&lt;&gt;"",INDEX('[1]01-数据'!$C$6:$ND$6,MATCH(A33,'[1]01-数据'!$C$1:$ND$1))," ")</f>
        <v>46706.2</v>
      </c>
      <c r="F33" s="15">
        <f>IF(A33&lt;&gt;"",INDEX('[1]01-数据'!$C$7:$ND$7,MATCH(A33,'[1]01-数据'!$C$1:$ND$1))," ")</f>
        <v>0.0358</v>
      </c>
      <c r="G33" s="11">
        <f>IF(A33&lt;&gt;"",INDEX('[1]01-数据'!$C$11:$ND$11,MATCH(A33,'[1]01-数据'!$C$1:$ND$1))," ")</f>
        <v>13.12</v>
      </c>
      <c r="H33" s="11">
        <f>IF(A33&lt;&gt;"",INDEX('[1]01-数据'!$C$14:$ND$14,MATCH(A33,'[1]01-数据'!$C$1:$ND$1))," ")</f>
        <v>9.67</v>
      </c>
    </row>
    <row r="34" spans="1:8">
      <c r="A34" s="13" t="s">
        <v>9</v>
      </c>
      <c r="B34" s="13"/>
      <c r="C34" s="13"/>
      <c r="D34" s="13"/>
      <c r="E34" s="13"/>
      <c r="F34" s="13"/>
      <c r="G34" s="16"/>
      <c r="H34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11" workbookViewId="0">
      <selection activeCell="F34" sqref="F34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9" max="9" width="12.625"/>
    <col min="11" max="11" width="9.33333333333333"/>
  </cols>
  <sheetData>
    <row r="1" ht="18.75" spans="1:8">
      <c r="A1" s="3" t="s">
        <v>17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25">
        <v>45474</v>
      </c>
      <c r="B4" s="11">
        <f>IF(A4&lt;&gt;"",INDEX('[1]01-数据'!$C$2:$ND$2,MATCH(A4,'[1]01-数据'!$C$1:$ND$1))," ")</f>
        <v>298.05</v>
      </c>
      <c r="C4" s="11">
        <f>IF(A4&lt;&gt;"",INDEX('[1]01-数据'!$C$3:$ND$3,MATCH(A4,'[1]01-数据'!$C$1:$ND$1))," ")</f>
        <v>298.05</v>
      </c>
      <c r="D4" s="12">
        <f>IF(A4&lt;&gt;"",INDEX('[1]01-数据'!$C$4:$ND$4,MATCH(A4,'[1]01-数据'!$C$1:$ND$1))," ")</f>
        <v>0.0918</v>
      </c>
      <c r="E4" s="11">
        <f>IF(A4&lt;&gt;"",INDEX('[1]01-数据'!$C$6:$ND$6,MATCH(A4,'[1]01-数据'!$C$1:$ND$1))," ")</f>
        <v>47004.24</v>
      </c>
      <c r="F4" s="15">
        <f>IF(A4&lt;&gt;"",INDEX('[1]01-数据'!$C$7:$ND$7,MATCH(A4,'[1]01-数据'!$C$1:$ND$1))," ")</f>
        <v>0.0362</v>
      </c>
      <c r="G4" s="11">
        <f>IF(A4&lt;&gt;"",INDEX('[1]01-数据'!$C$11:$ND$11,MATCH(A4,'[1]01-数据'!$C$1:$ND$1))," ")</f>
        <v>13.23</v>
      </c>
      <c r="H4" s="11">
        <f>IF(A4&lt;&gt;"",INDEX('[1]01-数据'!$C$14:$ND$14,MATCH(A4,'[1]01-数据'!$C$1:$ND$1))," ")</f>
        <v>9.96</v>
      </c>
    </row>
    <row r="5" spans="1:8">
      <c r="A5" s="25">
        <v>45475</v>
      </c>
      <c r="B5" s="11">
        <f>IF(A5&lt;&gt;"",INDEX('[1]01-数据'!$C$2:$ND$2,MATCH(A5,'[1]01-数据'!$C$1:$ND$1))," ")</f>
        <v>310.67</v>
      </c>
      <c r="C5" s="11">
        <f>IF(A5&lt;&gt;"",INDEX('[1]01-数据'!$C$3:$ND$3,MATCH(A5,'[1]01-数据'!$C$1:$ND$1))," ")</f>
        <v>608.71</v>
      </c>
      <c r="D5" s="12">
        <f>IF(A5&lt;&gt;"",INDEX('[1]01-数据'!$C$4:$ND$4,MATCH(A5,'[1]01-数据'!$C$1:$ND$1))," ")</f>
        <v>0.1197</v>
      </c>
      <c r="E5" s="11">
        <f>IF(A5&lt;&gt;"",INDEX('[1]01-数据'!$C$6:$ND$6,MATCH(A5,'[1]01-数据'!$C$1:$ND$1))," ")</f>
        <v>47314.91</v>
      </c>
      <c r="F5" s="15">
        <f>IF(A5&lt;&gt;"",INDEX('[1]01-数据'!$C$7:$ND$7,MATCH(A5,'[1]01-数据'!$C$1:$ND$1))," ")</f>
        <v>0.0368</v>
      </c>
      <c r="G5" s="11">
        <f>IF(A5&lt;&gt;"",INDEX('[1]01-数据'!$C$11:$ND$11,MATCH(A5,'[1]01-数据'!$C$1:$ND$1))," ")</f>
        <v>13.84</v>
      </c>
      <c r="H5" s="11">
        <f>IF(A5&lt;&gt;"",INDEX('[1]01-数据'!$C$14:$ND$14,MATCH(A5,'[1]01-数据'!$C$1:$ND$1))," ")</f>
        <v>10.28</v>
      </c>
    </row>
    <row r="6" spans="1:8">
      <c r="A6" s="25">
        <v>45476</v>
      </c>
      <c r="B6" s="11">
        <f>IF(A6&lt;&gt;"",INDEX('[1]01-数据'!$C$2:$ND$2,MATCH(A6,'[1]01-数据'!$C$1:$ND$1))," ")</f>
        <v>319.14</v>
      </c>
      <c r="C6" s="11">
        <f>IF(A6&lt;&gt;"",INDEX('[1]01-数据'!$C$3:$ND$3,MATCH(A6,'[1]01-数据'!$C$1:$ND$1))," ")</f>
        <v>927.85</v>
      </c>
      <c r="D6" s="12">
        <f>IF(A6&lt;&gt;"",INDEX('[1]01-数据'!$C$4:$ND$4,MATCH(A6,'[1]01-数据'!$C$1:$ND$1))," ")</f>
        <v>0.1324</v>
      </c>
      <c r="E6" s="11">
        <f>IF(A6&lt;&gt;"",INDEX('[1]01-数据'!$C$6:$ND$6,MATCH(A6,'[1]01-数据'!$C$1:$ND$1))," ")</f>
        <v>47634.05</v>
      </c>
      <c r="F6" s="15">
        <f>IF(A6&lt;&gt;"",INDEX('[1]01-数据'!$C$7:$ND$7,MATCH(A6,'[1]01-数据'!$C$1:$ND$1))," ")</f>
        <v>0.0376</v>
      </c>
      <c r="G6" s="11">
        <f>IF(A6&lt;&gt;"",INDEX('[1]01-数据'!$C$11:$ND$11,MATCH(A6,'[1]01-数据'!$C$1:$ND$1))," ")</f>
        <v>14.24</v>
      </c>
      <c r="H6" s="11">
        <f>IF(A6&lt;&gt;"",INDEX('[1]01-数据'!$C$14:$ND$14,MATCH(A6,'[1]01-数据'!$C$1:$ND$1))," ")</f>
        <v>10.66</v>
      </c>
    </row>
    <row r="7" spans="1:8">
      <c r="A7" s="25">
        <v>45477</v>
      </c>
      <c r="B7" s="11">
        <f>IF(A7&lt;&gt;"",INDEX('[1]01-数据'!$C$2:$ND$2,MATCH(A7,'[1]01-数据'!$C$1:$ND$1))," ")</f>
        <v>329.17</v>
      </c>
      <c r="C7" s="11">
        <f>IF(A7&lt;&gt;"",INDEX('[1]01-数据'!$C$3:$ND$3,MATCH(A7,'[1]01-数据'!$C$1:$ND$1))," ")</f>
        <v>1257.03</v>
      </c>
      <c r="D7" s="12">
        <f>IF(A7&lt;&gt;"",INDEX('[1]01-数据'!$C$4:$ND$4,MATCH(A7,'[1]01-数据'!$C$1:$ND$1))," ")</f>
        <v>0.1407</v>
      </c>
      <c r="E7" s="11">
        <f>IF(A7&lt;&gt;"",INDEX('[1]01-数据'!$C$6:$ND$6,MATCH(A7,'[1]01-数据'!$C$1:$ND$1))," ")</f>
        <v>47963.23</v>
      </c>
      <c r="F7" s="15">
        <f>IF(A7&lt;&gt;"",INDEX('[1]01-数据'!$C$7:$ND$7,MATCH(A7,'[1]01-数据'!$C$1:$ND$1))," ")</f>
        <v>0.0383</v>
      </c>
      <c r="G7" s="11">
        <f>IF(A7&lt;&gt;"",INDEX('[1]01-数据'!$C$11:$ND$11,MATCH(A7,'[1]01-数据'!$C$1:$ND$1))," ")</f>
        <v>14.65</v>
      </c>
      <c r="H7" s="11">
        <f>IF(A7&lt;&gt;"",INDEX('[1]01-数据'!$C$14:$ND$14,MATCH(A7,'[1]01-数据'!$C$1:$ND$1))," ")</f>
        <v>10.92</v>
      </c>
    </row>
    <row r="8" spans="1:8">
      <c r="A8" s="26">
        <v>45478</v>
      </c>
      <c r="B8" s="8">
        <f>IF(A8&lt;&gt;"",INDEX('[1]01-数据'!$C$2:$ND$2,MATCH(A8,'[1]01-数据'!$C$1:$ND$1))," ")</f>
        <v>325.96</v>
      </c>
      <c r="C8" s="8">
        <f>IF(A8&lt;&gt;"",INDEX('[1]01-数据'!$C$3:$ND$3,MATCH(A8,'[1]01-数据'!$C$1:$ND$1))," ")</f>
        <v>1582.98</v>
      </c>
      <c r="D8" s="9">
        <f>IF(A8&lt;&gt;"",INDEX('[1]01-数据'!$C$4:$ND$4,MATCH(A8,'[1]01-数据'!$C$1:$ND$1))," ")</f>
        <v>0.1368</v>
      </c>
      <c r="E8" s="8">
        <f>IF(A8&lt;&gt;"",INDEX('[1]01-数据'!$C$6:$ND$6,MATCH(A8,'[1]01-数据'!$C$1:$ND$1))," ")</f>
        <v>48289.18</v>
      </c>
      <c r="F8" s="14">
        <f>IF(A8&lt;&gt;"",INDEX('[1]01-数据'!$C$7:$ND$7,MATCH(A8,'[1]01-数据'!$C$1:$ND$1))," ")</f>
        <v>0.0389</v>
      </c>
      <c r="G8" s="8">
        <f>IF(A8&lt;&gt;"",INDEX('[1]01-数据'!$C$11:$ND$11,MATCH(A8,'[1]01-数据'!$C$1:$ND$1))," ")</f>
        <v>14.31</v>
      </c>
      <c r="H8" s="8">
        <f>IF(A8&lt;&gt;"",INDEX('[1]01-数据'!$C$14:$ND$14,MATCH(A8,'[1]01-数据'!$C$1:$ND$1))," ")</f>
        <v>11.14</v>
      </c>
    </row>
    <row r="9" spans="1:8">
      <c r="A9" s="26">
        <v>45479</v>
      </c>
      <c r="B9" s="8">
        <f>IF(A9&lt;&gt;"",INDEX('[1]01-数据'!$C$2:$ND$2,MATCH(A9,'[1]01-数据'!$C$1:$ND$1))," ")</f>
        <v>319.39</v>
      </c>
      <c r="C9" s="8">
        <f>IF(A9&lt;&gt;"",INDEX('[1]01-数据'!$C$3:$ND$3,MATCH(A9,'[1]01-数据'!$C$1:$ND$1))," ")</f>
        <v>1902.38</v>
      </c>
      <c r="D9" s="9">
        <f>IF(A9&lt;&gt;"",INDEX('[1]01-数据'!$C$4:$ND$4,MATCH(A9,'[1]01-数据'!$C$1:$ND$1))," ")</f>
        <v>0.1295</v>
      </c>
      <c r="E9" s="8">
        <f>IF(A9&lt;&gt;"",INDEX('[1]01-数据'!$C$6:$ND$6,MATCH(A9,'[1]01-数据'!$C$1:$ND$1))," ")</f>
        <v>48608.58</v>
      </c>
      <c r="F9" s="14">
        <f>IF(A9&lt;&gt;"",INDEX('[1]01-数据'!$C$7:$ND$7,MATCH(A9,'[1]01-数据'!$C$1:$ND$1))," ")</f>
        <v>0.0392</v>
      </c>
      <c r="G9" s="8">
        <f>IF(A9&lt;&gt;"",INDEX('[1]01-数据'!$C$11:$ND$11,MATCH(A9,'[1]01-数据'!$C$1:$ND$1))," ")</f>
        <v>13.89</v>
      </c>
      <c r="H9" s="8">
        <f>IF(A9&lt;&gt;"",INDEX('[1]01-数据'!$C$14:$ND$14,MATCH(A9,'[1]01-数据'!$C$1:$ND$1))," ")</f>
        <v>11.09</v>
      </c>
    </row>
    <row r="10" s="2" customFormat="1" spans="1:8">
      <c r="A10" s="25">
        <v>45480</v>
      </c>
      <c r="B10" s="11">
        <f>IF(A10&lt;&gt;"",INDEX('[1]01-数据'!$C$2:$ND$2,MATCH(A10,'[1]01-数据'!$C$1:$ND$1))," ")</f>
        <v>325.95</v>
      </c>
      <c r="C10" s="11">
        <f>IF(A10&lt;&gt;"",INDEX('[1]01-数据'!$C$3:$ND$3,MATCH(A10,'[1]01-数据'!$C$1:$ND$1))," ")</f>
        <v>2228.33</v>
      </c>
      <c r="D10" s="12">
        <f>IF(A10&lt;&gt;"",INDEX('[1]01-数据'!$C$4:$ND$4,MATCH(A10,'[1]01-数据'!$C$1:$ND$1))," ")</f>
        <v>0.1289</v>
      </c>
      <c r="E10" s="11">
        <f>IF(A10&lt;&gt;"",INDEX('[1]01-数据'!$C$6:$ND$6,MATCH(A10,'[1]01-数据'!$C$1:$ND$1))," ")</f>
        <v>48934.52</v>
      </c>
      <c r="F10" s="15">
        <f>IF(A10&lt;&gt;"",INDEX('[1]01-数据'!$C$7:$ND$7,MATCH(A10,'[1]01-数据'!$C$1:$ND$1))," ")</f>
        <v>0.0397</v>
      </c>
      <c r="G10" s="11">
        <f>IF(A10&lt;&gt;"",INDEX('[1]01-数据'!$C$11:$ND$11,MATCH(A10,'[1]01-数据'!$C$1:$ND$1))," ")</f>
        <v>14.67</v>
      </c>
      <c r="H10" s="11">
        <f>IF(A10&lt;&gt;"",INDEX('[1]01-数据'!$C$14:$ND$14,MATCH(A10,'[1]01-数据'!$C$1:$ND$1))," ")</f>
        <v>10.93</v>
      </c>
    </row>
    <row r="11" spans="1:8">
      <c r="A11" s="25">
        <v>45481</v>
      </c>
      <c r="B11" s="11">
        <f>IF(A11&lt;&gt;"",INDEX('[1]01-数据'!$C$2:$ND$2,MATCH(A11,'[1]01-数据'!$C$1:$ND$1))," ")</f>
        <v>324.27</v>
      </c>
      <c r="C11" s="11">
        <f>IF(A11&lt;&gt;"",INDEX('[1]01-数据'!$C$3:$ND$3,MATCH(A11,'[1]01-数据'!$C$1:$ND$1))," ")</f>
        <v>2552.6</v>
      </c>
      <c r="D11" s="12">
        <f>IF(A11&lt;&gt;"",INDEX('[1]01-数据'!$C$4:$ND$4,MATCH(A11,'[1]01-数据'!$C$1:$ND$1))," ")</f>
        <v>0.1235</v>
      </c>
      <c r="E11" s="11">
        <f>IF(A11&lt;&gt;"",INDEX('[1]01-数据'!$C$6:$ND$6,MATCH(A11,'[1]01-数据'!$C$1:$ND$1))," ")</f>
        <v>49258.8</v>
      </c>
      <c r="F11" s="15">
        <f>IF(A11&lt;&gt;"",INDEX('[1]01-数据'!$C$7:$ND$7,MATCH(A11,'[1]01-数据'!$C$1:$ND$1))," ")</f>
        <v>0.04</v>
      </c>
      <c r="G11" s="11">
        <f>IF(A11&lt;&gt;"",INDEX('[1]01-数据'!$C$11:$ND$11,MATCH(A11,'[1]01-数据'!$C$1:$ND$1))," ")</f>
        <v>14.48</v>
      </c>
      <c r="H11" s="11">
        <f>IF(A11&lt;&gt;"",INDEX('[1]01-数据'!$C$14:$ND$14,MATCH(A11,'[1]01-数据'!$C$1:$ND$1))," ")</f>
        <v>11.04</v>
      </c>
    </row>
    <row r="12" spans="1:8">
      <c r="A12" s="25">
        <v>45482</v>
      </c>
      <c r="B12" s="11">
        <f>IF(A12&lt;&gt;"",INDEX('[1]01-数据'!$C$2:$ND$2,MATCH(A12,'[1]01-数据'!$C$1:$ND$1))," ")</f>
        <v>323.5</v>
      </c>
      <c r="C12" s="11">
        <f>IF(A12&lt;&gt;"",INDEX('[1]01-数据'!$C$3:$ND$3,MATCH(A12,'[1]01-数据'!$C$1:$ND$1))," ")</f>
        <v>2876.09</v>
      </c>
      <c r="D12" s="12">
        <f>IF(A12&lt;&gt;"",INDEX('[1]01-数据'!$C$4:$ND$4,MATCH(A12,'[1]01-数据'!$C$1:$ND$1))," ")</f>
        <v>0.1194</v>
      </c>
      <c r="E12" s="11">
        <f>IF(A12&lt;&gt;"",INDEX('[1]01-数据'!$C$6:$ND$6,MATCH(A12,'[1]01-数据'!$C$1:$ND$1))," ")</f>
        <v>49582.29</v>
      </c>
      <c r="F12" s="15">
        <f>IF(A12&lt;&gt;"",INDEX('[1]01-数据'!$C$7:$ND$7,MATCH(A12,'[1]01-数据'!$C$1:$ND$1))," ")</f>
        <v>0.0404</v>
      </c>
      <c r="G12" s="11">
        <f>IF(A12&lt;&gt;"",INDEX('[1]01-数据'!$C$11:$ND$11,MATCH(A12,'[1]01-数据'!$C$1:$ND$1))," ")</f>
        <v>14.51</v>
      </c>
      <c r="H12" s="11">
        <f>IF(A12&lt;&gt;"",INDEX('[1]01-数据'!$C$14:$ND$14,MATCH(A12,'[1]01-数据'!$C$1:$ND$1))," ")</f>
        <v>11.01</v>
      </c>
    </row>
    <row r="13" spans="1:11">
      <c r="A13" s="25">
        <v>45483</v>
      </c>
      <c r="B13" s="11">
        <f>IF(A13&lt;&gt;"",INDEX('[1]01-数据'!$C$2:$ND$2,MATCH(A13,'[1]01-数据'!$C$1:$ND$1))," ")</f>
        <v>320.53</v>
      </c>
      <c r="C13" s="11">
        <f>IF(A13&lt;&gt;"",INDEX('[1]01-数据'!$C$3:$ND$3,MATCH(A13,'[1]01-数据'!$C$1:$ND$1))," ")</f>
        <v>3196.62</v>
      </c>
      <c r="D13" s="12">
        <f>IF(A13&lt;&gt;"",INDEX('[1]01-数据'!$C$4:$ND$4,MATCH(A13,'[1]01-数据'!$C$1:$ND$1))," ")</f>
        <v>0.116</v>
      </c>
      <c r="E13" s="11">
        <f>IF(A13&lt;&gt;"",INDEX('[1]01-数据'!$C$6:$ND$6,MATCH(A13,'[1]01-数据'!$C$1:$ND$1))," ")</f>
        <v>49902.82</v>
      </c>
      <c r="F13" s="15">
        <f>IF(A13&lt;&gt;"",INDEX('[1]01-数据'!$C$7:$ND$7,MATCH(A13,'[1]01-数据'!$C$1:$ND$1))," ")</f>
        <v>0.0406</v>
      </c>
      <c r="G13" s="11">
        <f>IF(A13&lt;&gt;"",INDEX('[1]01-数据'!$C$11:$ND$11,MATCH(A13,'[1]01-数据'!$C$1:$ND$1))," ")</f>
        <v>14.42</v>
      </c>
      <c r="H13" s="11">
        <f>IF(A13&lt;&gt;"",INDEX('[1]01-数据'!$C$14:$ND$14,MATCH(A13,'[1]01-数据'!$C$1:$ND$1))," ")</f>
        <v>10.9</v>
      </c>
      <c r="K13" s="17"/>
    </row>
    <row r="14" spans="1:11">
      <c r="A14" s="25">
        <v>45484</v>
      </c>
      <c r="B14" s="11">
        <f>IF(A14&lt;&gt;"",INDEX('[1]01-数据'!$C$2:$ND$2,MATCH(A14,'[1]01-数据'!$C$1:$ND$1))," ")</f>
        <v>316.48</v>
      </c>
      <c r="C14" s="11">
        <f>IF(A14&lt;&gt;"",INDEX('[1]01-数据'!$C$3:$ND$3,MATCH(A14,'[1]01-数据'!$C$1:$ND$1))," ")</f>
        <v>3513.1</v>
      </c>
      <c r="D14" s="12">
        <f>IF(A14&lt;&gt;"",INDEX('[1]01-数据'!$C$4:$ND$4,MATCH(A14,'[1]01-数据'!$C$1:$ND$1))," ")</f>
        <v>0.113</v>
      </c>
      <c r="E14" s="11">
        <f>IF(A14&lt;&gt;"",INDEX('[1]01-数据'!$C$6:$ND$6,MATCH(A14,'[1]01-数据'!$C$1:$ND$1))," ")</f>
        <v>50219.3</v>
      </c>
      <c r="F14" s="15">
        <f>IF(A14&lt;&gt;"",INDEX('[1]01-数据'!$C$7:$ND$7,MATCH(A14,'[1]01-数据'!$C$1:$ND$1))," ")</f>
        <v>0.0409</v>
      </c>
      <c r="G14" s="11">
        <f>IF(A14&lt;&gt;"",INDEX('[1]01-数据'!$C$11:$ND$11,MATCH(A14,'[1]01-数据'!$C$1:$ND$1))," ")</f>
        <v>14.3</v>
      </c>
      <c r="H14" s="11">
        <f>IF(A14&lt;&gt;"",INDEX('[1]01-数据'!$C$14:$ND$14,MATCH(A14,'[1]01-数据'!$C$1:$ND$1))," ")</f>
        <v>10.74</v>
      </c>
      <c r="K14" s="17"/>
    </row>
    <row r="15" spans="1:11">
      <c r="A15" s="26">
        <v>45485</v>
      </c>
      <c r="B15" s="8">
        <f>IF(A15&lt;&gt;"",INDEX('[1]01-数据'!$C$2:$ND$2,MATCH(A15,'[1]01-数据'!$C$1:$ND$1))," ")</f>
        <v>311.82</v>
      </c>
      <c r="C15" s="8">
        <f>IF(A15&lt;&gt;"",INDEX('[1]01-数据'!$C$3:$ND$3,MATCH(A15,'[1]01-数据'!$C$1:$ND$1))," ")</f>
        <v>3824.92</v>
      </c>
      <c r="D15" s="9">
        <f>IF(A15&lt;&gt;"",INDEX('[1]01-数据'!$C$4:$ND$4,MATCH(A15,'[1]01-数据'!$C$1:$ND$1))," ")</f>
        <v>0.1087</v>
      </c>
      <c r="E15" s="8">
        <f>IF(A15&lt;&gt;"",INDEX('[1]01-数据'!$C$6:$ND$6,MATCH(A15,'[1]01-数据'!$C$1:$ND$1))," ")</f>
        <v>50531.12</v>
      </c>
      <c r="F15" s="14">
        <f>IF(A15&lt;&gt;"",INDEX('[1]01-数据'!$C$7:$ND$7,MATCH(A15,'[1]01-数据'!$C$1:$ND$1))," ")</f>
        <v>0.041</v>
      </c>
      <c r="G15" s="8">
        <f>IF(A15&lt;&gt;"",INDEX('[1]01-数据'!$C$11:$ND$11,MATCH(A15,'[1]01-数据'!$C$1:$ND$1))," ")</f>
        <v>13.91</v>
      </c>
      <c r="H15" s="8">
        <f>IF(A15&lt;&gt;"",INDEX('[1]01-数据'!$C$14:$ND$14,MATCH(A15,'[1]01-数据'!$C$1:$ND$1))," ")</f>
        <v>10.69</v>
      </c>
      <c r="K15" s="17"/>
    </row>
    <row r="16" spans="1:8">
      <c r="A16" s="26">
        <v>45486</v>
      </c>
      <c r="B16" s="8">
        <f>IF(A16&lt;&gt;"",INDEX('[1]01-数据'!$C$2:$ND$2,MATCH(A16,'[1]01-数据'!$C$1:$ND$1))," ")</f>
        <v>308.51</v>
      </c>
      <c r="C16" s="8">
        <f>IF(A16&lt;&gt;"",INDEX('[1]01-数据'!$C$3:$ND$3,MATCH(A16,'[1]01-数据'!$C$1:$ND$1))," ")</f>
        <v>4133.43</v>
      </c>
      <c r="D16" s="9">
        <f>IF(A16&lt;&gt;"",INDEX('[1]01-数据'!$C$4:$ND$4,MATCH(A16,'[1]01-数据'!$C$1:$ND$1))," ")</f>
        <v>0.1063</v>
      </c>
      <c r="E16" s="8">
        <f>IF(A16&lt;&gt;"",INDEX('[1]01-数据'!$C$6:$ND$6,MATCH(A16,'[1]01-数据'!$C$1:$ND$1))," ")</f>
        <v>50839.63</v>
      </c>
      <c r="F16" s="14">
        <f>IF(A16&lt;&gt;"",INDEX('[1]01-数据'!$C$7:$ND$7,MATCH(A16,'[1]01-数据'!$C$1:$ND$1))," ")</f>
        <v>0.0412</v>
      </c>
      <c r="G16" s="8">
        <f>IF(A16&lt;&gt;"",INDEX('[1]01-数据'!$C$11:$ND$11,MATCH(A16,'[1]01-数据'!$C$1:$ND$1))," ")</f>
        <v>13.48</v>
      </c>
      <c r="H16" s="8">
        <f>IF(A16&lt;&gt;"",INDEX('[1]01-数据'!$C$14:$ND$14,MATCH(A16,'[1]01-数据'!$C$1:$ND$1))," ")</f>
        <v>10.64</v>
      </c>
    </row>
    <row r="17" spans="1:8">
      <c r="A17" s="25">
        <v>45487</v>
      </c>
      <c r="B17" s="11">
        <f>IF(A17&lt;&gt;"",INDEX('[1]01-数据'!$C$2:$ND$2,MATCH(A17,'[1]01-数据'!$C$1:$ND$1))," ")</f>
        <v>325.32</v>
      </c>
      <c r="C17" s="11">
        <f>IF(A17&lt;&gt;"",INDEX('[1]01-数据'!$C$3:$ND$3,MATCH(A17,'[1]01-数据'!$C$1:$ND$1))," ")</f>
        <v>4458.76</v>
      </c>
      <c r="D17" s="12">
        <f>IF(A17&lt;&gt;"",INDEX('[1]01-数据'!$C$4:$ND$4,MATCH(A17,'[1]01-数据'!$C$1:$ND$1))," ")</f>
        <v>0.1106</v>
      </c>
      <c r="E17" s="11">
        <f>IF(A17&lt;&gt;"",INDEX('[1]01-数据'!$C$6:$ND$6,MATCH(A17,'[1]01-数据'!$C$1:$ND$1))," ")</f>
        <v>51164.95</v>
      </c>
      <c r="F17" s="15">
        <f>IF(A17&lt;&gt;"",INDEX('[1]01-数据'!$C$7:$ND$7,MATCH(A17,'[1]01-数据'!$C$1:$ND$1))," ")</f>
        <v>0.042</v>
      </c>
      <c r="G17" s="11">
        <f>IF(A17&lt;&gt;"",INDEX('[1]01-数据'!$C$11:$ND$11,MATCH(A17,'[1]01-数据'!$C$1:$ND$1))," ")</f>
        <v>14.62</v>
      </c>
      <c r="H17" s="11">
        <f>IF(A17&lt;&gt;"",INDEX('[1]01-数据'!$C$14:$ND$14,MATCH(A17,'[1]01-数据'!$C$1:$ND$1))," ")</f>
        <v>10.7</v>
      </c>
    </row>
    <row r="18" spans="1:8">
      <c r="A18" s="25">
        <v>45488</v>
      </c>
      <c r="B18" s="11">
        <f>IF(A18&lt;&gt;"",INDEX('[1]01-数据'!$C$2:$ND$2,MATCH(A18,'[1]01-数据'!$C$1:$ND$1))," ")</f>
        <v>330.13</v>
      </c>
      <c r="C18" s="11">
        <f>IF(A18&lt;&gt;"",INDEX('[1]01-数据'!$C$3:$ND$3,MATCH(A18,'[1]01-数据'!$C$1:$ND$1))," ")</f>
        <v>4788.88</v>
      </c>
      <c r="D18" s="12">
        <f>IF(A18&lt;&gt;"",INDEX('[1]01-数据'!$C$4:$ND$4,MATCH(A18,'[1]01-数据'!$C$1:$ND$1))," ")</f>
        <v>0.1123</v>
      </c>
      <c r="E18" s="11">
        <f>IF(A18&lt;&gt;"",INDEX('[1]01-数据'!$C$6:$ND$6,MATCH(A18,'[1]01-数据'!$C$1:$ND$1))," ")</f>
        <v>51495.08</v>
      </c>
      <c r="F18" s="15">
        <f>IF(A18&lt;&gt;"",INDEX('[1]01-数据'!$C$7:$ND$7,MATCH(A18,'[1]01-数据'!$C$1:$ND$1))," ")</f>
        <v>0.0425</v>
      </c>
      <c r="G18" s="11">
        <f>IF(A18&lt;&gt;"",INDEX('[1]01-数据'!$C$11:$ND$11,MATCH(A18,'[1]01-数据'!$C$1:$ND$1))," ")</f>
        <v>14.65</v>
      </c>
      <c r="H18" s="11">
        <f>IF(A18&lt;&gt;"",INDEX('[1]01-数据'!$C$14:$ND$14,MATCH(A18,'[1]01-数据'!$C$1:$ND$1))," ")</f>
        <v>11.1</v>
      </c>
    </row>
    <row r="19" spans="1:8">
      <c r="A19" s="25">
        <v>45489</v>
      </c>
      <c r="B19" s="11">
        <f>IF(A19&lt;&gt;"",INDEX('[1]01-数据'!$C$2:$ND$2,MATCH(A19,'[1]01-数据'!$C$1:$ND$1))," ")</f>
        <v>337.3</v>
      </c>
      <c r="C19" s="11">
        <f>IF(A19&lt;&gt;"",INDEX('[1]01-数据'!$C$3:$ND$3,MATCH(A19,'[1]01-数据'!$C$1:$ND$1))," ")</f>
        <v>5126.18</v>
      </c>
      <c r="D19" s="12">
        <f>IF(A19&lt;&gt;"",INDEX('[1]01-数据'!$C$4:$ND$4,MATCH(A19,'[1]01-数据'!$C$1:$ND$1))," ")</f>
        <v>0.1137</v>
      </c>
      <c r="E19" s="11">
        <f>IF(A19&lt;&gt;"",INDEX('[1]01-数据'!$C$6:$ND$6,MATCH(A19,'[1]01-数据'!$C$1:$ND$1))," ")</f>
        <v>51832.38</v>
      </c>
      <c r="F19" s="15">
        <f>IF(A19&lt;&gt;"",INDEX('[1]01-数据'!$C$7:$ND$7,MATCH(A19,'[1]01-数据'!$C$1:$ND$1))," ")</f>
        <v>0.0431</v>
      </c>
      <c r="G19" s="11">
        <f>IF(A19&lt;&gt;"",INDEX('[1]01-数据'!$C$11:$ND$11,MATCH(A19,'[1]01-数据'!$C$1:$ND$1))," ")</f>
        <v>15.07</v>
      </c>
      <c r="H19" s="11">
        <f>IF(A19&lt;&gt;"",INDEX('[1]01-数据'!$C$14:$ND$14,MATCH(A19,'[1]01-数据'!$C$1:$ND$1))," ")</f>
        <v>11.35</v>
      </c>
    </row>
    <row r="20" spans="1:8">
      <c r="A20" s="25">
        <v>45490</v>
      </c>
      <c r="B20" s="11">
        <f>IF(A20&lt;&gt;"",INDEX('[1]01-数据'!$C$2:$ND$2,MATCH(A20,'[1]01-数据'!$C$1:$ND$1))," ")</f>
        <v>338.81</v>
      </c>
      <c r="C20" s="11">
        <f>IF(A20&lt;&gt;"",INDEX('[1]01-数据'!$C$3:$ND$3,MATCH(A20,'[1]01-数据'!$C$1:$ND$1))," ")</f>
        <v>5464.99</v>
      </c>
      <c r="D20" s="12">
        <f>IF(A20&lt;&gt;"",INDEX('[1]01-数据'!$C$4:$ND$4,MATCH(A20,'[1]01-数据'!$C$1:$ND$1))," ")</f>
        <v>0.115</v>
      </c>
      <c r="E20" s="11">
        <f>IF(A20&lt;&gt;"",INDEX('[1]01-数据'!$C$6:$ND$6,MATCH(A20,'[1]01-数据'!$C$1:$ND$1))," ")</f>
        <v>52171.19</v>
      </c>
      <c r="F20" s="15">
        <f>IF(A20&lt;&gt;"",INDEX('[1]01-数据'!$C$7:$ND$7,MATCH(A20,'[1]01-数据'!$C$1:$ND$1))," ")</f>
        <v>0.0436</v>
      </c>
      <c r="G20" s="11">
        <f>IF(A20&lt;&gt;"",INDEX('[1]01-数据'!$C$11:$ND$11,MATCH(A20,'[1]01-数据'!$C$1:$ND$1))," ")</f>
        <v>15.08</v>
      </c>
      <c r="H20" s="11">
        <f>IF(A20&lt;&gt;"",INDEX('[1]01-数据'!$C$14:$ND$14,MATCH(A20,'[1]01-数据'!$C$1:$ND$1))," ")</f>
        <v>11.45</v>
      </c>
    </row>
    <row r="21" spans="1:8">
      <c r="A21" s="25">
        <v>45491</v>
      </c>
      <c r="B21" s="11">
        <f>IF(A21&lt;&gt;"",INDEX('[1]01-数据'!$C$2:$ND$2,MATCH(A21,'[1]01-数据'!$C$1:$ND$1))," ")</f>
        <v>335.41</v>
      </c>
      <c r="C21" s="11">
        <f>IF(A21&lt;&gt;"",INDEX('[1]01-数据'!$C$3:$ND$3,MATCH(A21,'[1]01-数据'!$C$1:$ND$1))," ")</f>
        <v>5800.4</v>
      </c>
      <c r="D21" s="12">
        <f>IF(A21&lt;&gt;"",INDEX('[1]01-数据'!$C$4:$ND$4,MATCH(A21,'[1]01-数据'!$C$1:$ND$1))," ")</f>
        <v>0.1146</v>
      </c>
      <c r="E21" s="11">
        <f>IF(A21&lt;&gt;"",INDEX('[1]01-数据'!$C$6:$ND$6,MATCH(A21,'[1]01-数据'!$C$1:$ND$1))," ")</f>
        <v>52506.6</v>
      </c>
      <c r="F21" s="15">
        <f>IF(A21&lt;&gt;"",INDEX('[1]01-数据'!$C$7:$ND$7,MATCH(A21,'[1]01-数据'!$C$1:$ND$1))," ")</f>
        <v>0.044</v>
      </c>
      <c r="G21" s="11">
        <f>IF(A21&lt;&gt;"",INDEX('[1]01-数据'!$C$11:$ND$11,MATCH(A21,'[1]01-数据'!$C$1:$ND$1))," ")</f>
        <v>15.04</v>
      </c>
      <c r="H21" s="11">
        <f>IF(A21&lt;&gt;"",INDEX('[1]01-数据'!$C$14:$ND$14,MATCH(A21,'[1]01-数据'!$C$1:$ND$1))," ")</f>
        <v>11.5</v>
      </c>
    </row>
    <row r="22" spans="1:8">
      <c r="A22" s="26">
        <v>45492</v>
      </c>
      <c r="B22" s="8">
        <f>IF(A22&lt;&gt;"",INDEX('[1]01-数据'!$C$2:$ND$2,MATCH(A22,'[1]01-数据'!$C$1:$ND$1))," ")</f>
        <v>325.8</v>
      </c>
      <c r="C22" s="8">
        <f>IF(A22&lt;&gt;"",INDEX('[1]01-数据'!$C$3:$ND$3,MATCH(A22,'[1]01-数据'!$C$1:$ND$1))," ")</f>
        <v>6126.2</v>
      </c>
      <c r="D22" s="9">
        <f>IF(A22&lt;&gt;"",INDEX('[1]01-数据'!$C$4:$ND$4,MATCH(A22,'[1]01-数据'!$C$1:$ND$1))," ")</f>
        <v>0.1116</v>
      </c>
      <c r="E22" s="8">
        <f>IF(A22&lt;&gt;"",INDEX('[1]01-数据'!$C$6:$ND$6,MATCH(A22,'[1]01-数据'!$C$1:$ND$1))," ")</f>
        <v>52832.4</v>
      </c>
      <c r="F22" s="14">
        <f>IF(A22&lt;&gt;"",INDEX('[1]01-数据'!$C$7:$ND$7,MATCH(A22,'[1]01-数据'!$C$1:$ND$1))," ")</f>
        <v>0.0441</v>
      </c>
      <c r="G22" s="8">
        <f>IF(A22&lt;&gt;"",INDEX('[1]01-数据'!$C$11:$ND$11,MATCH(A22,'[1]01-数据'!$C$1:$ND$1))," ")</f>
        <v>14.47</v>
      </c>
      <c r="H22" s="8">
        <f>IF(A22&lt;&gt;"",INDEX('[1]01-数据'!$C$14:$ND$14,MATCH(A22,'[1]01-数据'!$C$1:$ND$1))," ")</f>
        <v>11.21</v>
      </c>
    </row>
    <row r="23" spans="1:8">
      <c r="A23" s="26">
        <v>45493</v>
      </c>
      <c r="B23" s="8">
        <f>IF(A23&lt;&gt;"",INDEX('[1]01-数据'!$C$2:$ND$2,MATCH(A23,'[1]01-数据'!$C$1:$ND$1))," ")</f>
        <v>311.39</v>
      </c>
      <c r="C23" s="8">
        <f>IF(A23&lt;&gt;"",INDEX('[1]01-数据'!$C$3:$ND$3,MATCH(A23,'[1]01-数据'!$C$1:$ND$1))," ")</f>
        <v>6437.59</v>
      </c>
      <c r="D23" s="9">
        <f>IF(A23&lt;&gt;"",INDEX('[1]01-数据'!$C$4:$ND$4,MATCH(A23,'[1]01-数据'!$C$1:$ND$1))," ")</f>
        <v>0.1076</v>
      </c>
      <c r="E23" s="8">
        <f>IF(A23&lt;&gt;"",INDEX('[1]01-数据'!$C$6:$ND$6,MATCH(A23,'[1]01-数据'!$C$1:$ND$1))," ")</f>
        <v>53143.79</v>
      </c>
      <c r="F23" s="14">
        <f>IF(A23&lt;&gt;"",INDEX('[1]01-数据'!$C$7:$ND$7,MATCH(A23,'[1]01-数据'!$C$1:$ND$1))," ")</f>
        <v>0.044</v>
      </c>
      <c r="G23" s="8">
        <f>IF(A23&lt;&gt;"",INDEX('[1]01-数据'!$C$11:$ND$11,MATCH(A23,'[1]01-数据'!$C$1:$ND$1))," ")</f>
        <v>13.56</v>
      </c>
      <c r="H23" s="8">
        <f>IF(A23&lt;&gt;"",INDEX('[1]01-数据'!$C$14:$ND$14,MATCH(A23,'[1]01-数据'!$C$1:$ND$1))," ")</f>
        <v>11.03</v>
      </c>
    </row>
    <row r="24" spans="1:8">
      <c r="A24" s="25">
        <v>45494</v>
      </c>
      <c r="B24" s="11">
        <f>IF(A24&lt;&gt;"",INDEX('[1]01-数据'!$C$2:$ND$2,MATCH(A24,'[1]01-数据'!$C$1:$ND$1))," ")</f>
        <v>317.57</v>
      </c>
      <c r="C24" s="11">
        <f>IF(A24&lt;&gt;"",INDEX('[1]01-数据'!$C$3:$ND$3,MATCH(A24,'[1]01-数据'!$C$1:$ND$1))," ")</f>
        <v>6755.17</v>
      </c>
      <c r="D24" s="12">
        <f>IF(A24&lt;&gt;"",INDEX('[1]01-数据'!$C$4:$ND$4,MATCH(A24,'[1]01-数据'!$C$1:$ND$1))," ")</f>
        <v>0.1044</v>
      </c>
      <c r="E24" s="11">
        <f>IF(A24&lt;&gt;"",INDEX('[1]01-数据'!$C$6:$ND$6,MATCH(A24,'[1]01-数据'!$C$1:$ND$1))," ")</f>
        <v>53461.37</v>
      </c>
      <c r="F24" s="15">
        <f>IF(A24&lt;&gt;"",INDEX('[1]01-数据'!$C$7:$ND$7,MATCH(A24,'[1]01-数据'!$C$1:$ND$1))," ")</f>
        <v>0.044</v>
      </c>
      <c r="G24" s="11">
        <f>IF(A24&lt;&gt;"",INDEX('[1]01-数据'!$C$11:$ND$11,MATCH(A24,'[1]01-数据'!$C$1:$ND$1))," ")</f>
        <v>14.37</v>
      </c>
      <c r="H24" s="11">
        <f>IF(A24&lt;&gt;"",INDEX('[1]01-数据'!$C$14:$ND$14,MATCH(A24,'[1]01-数据'!$C$1:$ND$1))," ")</f>
        <v>10.59</v>
      </c>
    </row>
    <row r="25" spans="1:8">
      <c r="A25" s="25">
        <v>45495</v>
      </c>
      <c r="B25" s="11">
        <f>IF(A25&lt;&gt;"",INDEX('[1]01-数据'!$C$2:$ND$2,MATCH(A25,'[1]01-数据'!$C$1:$ND$1))," ")</f>
        <v>317.06</v>
      </c>
      <c r="C25" s="11">
        <f>IF(A25&lt;&gt;"",INDEX('[1]01-数据'!$C$3:$ND$3,MATCH(A25,'[1]01-数据'!$C$1:$ND$1))," ")</f>
        <v>7072.23</v>
      </c>
      <c r="D25" s="12">
        <f>IF(A25&lt;&gt;"",INDEX('[1]01-数据'!$C$4:$ND$4,MATCH(A25,'[1]01-数据'!$C$1:$ND$1))," ")</f>
        <v>0.0991</v>
      </c>
      <c r="E25" s="11">
        <f>IF(A25&lt;&gt;"",INDEX('[1]01-数据'!$C$6:$ND$6,MATCH(A25,'[1]01-数据'!$C$1:$ND$1))," ")</f>
        <v>53778.43</v>
      </c>
      <c r="F25" s="15">
        <f>IF(A25&lt;&gt;"",INDEX('[1]01-数据'!$C$7:$ND$7,MATCH(A25,'[1]01-数据'!$C$1:$ND$1))," ")</f>
        <v>0.0437</v>
      </c>
      <c r="G25" s="11">
        <f>IF(A25&lt;&gt;"",INDEX('[1]01-数据'!$C$11:$ND$11,MATCH(A25,'[1]01-数据'!$C$1:$ND$1))," ")</f>
        <v>14.24</v>
      </c>
      <c r="H25" s="11">
        <f>IF(A25&lt;&gt;"",INDEX('[1]01-数据'!$C$14:$ND$14,MATCH(A25,'[1]01-数据'!$C$1:$ND$1))," ")</f>
        <v>10.75</v>
      </c>
    </row>
    <row r="26" spans="1:8">
      <c r="A26" s="25">
        <v>45496</v>
      </c>
      <c r="B26" s="11">
        <f>IF(A26&lt;&gt;"",INDEX('[1]01-数据'!$C$2:$ND$2,MATCH(A26,'[1]01-数据'!$C$1:$ND$1))," ")</f>
        <v>316.97</v>
      </c>
      <c r="C26" s="11">
        <f>IF(A26&lt;&gt;"",INDEX('[1]01-数据'!$C$3:$ND$3,MATCH(A26,'[1]01-数据'!$C$1:$ND$1))," ")</f>
        <v>7389.2</v>
      </c>
      <c r="D26" s="12">
        <f>IF(A26&lt;&gt;"",INDEX('[1]01-数据'!$C$4:$ND$4,MATCH(A26,'[1]01-数据'!$C$1:$ND$1))," ")</f>
        <v>0.0932</v>
      </c>
      <c r="E26" s="11">
        <f>IF(A26&lt;&gt;"",INDEX('[1]01-数据'!$C$6:$ND$6,MATCH(A26,'[1]01-数据'!$C$1:$ND$1))," ")</f>
        <v>54095.4</v>
      </c>
      <c r="F26" s="15">
        <f>IF(A26&lt;&gt;"",INDEX('[1]01-数据'!$C$7:$ND$7,MATCH(A26,'[1]01-数据'!$C$1:$ND$1))," ")</f>
        <v>0.0433</v>
      </c>
      <c r="G26" s="11">
        <f>IF(A26&lt;&gt;"",INDEX('[1]01-数据'!$C$11:$ND$11,MATCH(A26,'[1]01-数据'!$C$1:$ND$1))," ")</f>
        <v>14.31</v>
      </c>
      <c r="H26" s="11">
        <f>IF(A26&lt;&gt;"",INDEX('[1]01-数据'!$C$14:$ND$14,MATCH(A26,'[1]01-数据'!$C$1:$ND$1))," ")</f>
        <v>10.65</v>
      </c>
    </row>
    <row r="27" spans="1:8">
      <c r="A27" s="25">
        <v>45497</v>
      </c>
      <c r="B27" s="11">
        <f>IF(A27&lt;&gt;"",INDEX('[1]01-数据'!$C$2:$ND$2,MATCH(A27,'[1]01-数据'!$C$1:$ND$1))," ")</f>
        <v>321.48</v>
      </c>
      <c r="C27" s="11">
        <f>IF(A27&lt;&gt;"",INDEX('[1]01-数据'!$C$3:$ND$3,MATCH(A27,'[1]01-数据'!$C$1:$ND$1))," ")</f>
        <v>7710.68</v>
      </c>
      <c r="D27" s="12">
        <f>IF(A27&lt;&gt;"",INDEX('[1]01-数据'!$C$4:$ND$4,MATCH(A27,'[1]01-数据'!$C$1:$ND$1))," ")</f>
        <v>0.0884</v>
      </c>
      <c r="E27" s="11">
        <f>IF(A27&lt;&gt;"",INDEX('[1]01-数据'!$C$6:$ND$6,MATCH(A27,'[1]01-数据'!$C$1:$ND$1))," ")</f>
        <v>54416.88</v>
      </c>
      <c r="F27" s="15">
        <f>IF(A27&lt;&gt;"",INDEX('[1]01-数据'!$C$7:$ND$7,MATCH(A27,'[1]01-数据'!$C$1:$ND$1))," ")</f>
        <v>0.043</v>
      </c>
      <c r="G27" s="11">
        <f>IF(A27&lt;&gt;"",INDEX('[1]01-数据'!$C$11:$ND$11,MATCH(A27,'[1]01-数据'!$C$1:$ND$1))," ")</f>
        <v>14.51</v>
      </c>
      <c r="H27" s="11">
        <f>IF(A27&lt;&gt;"",INDEX('[1]01-数据'!$C$14:$ND$14,MATCH(A27,'[1]01-数据'!$C$1:$ND$1))," ")</f>
        <v>10.72</v>
      </c>
    </row>
    <row r="28" spans="1:8">
      <c r="A28" s="25">
        <v>45498</v>
      </c>
      <c r="B28" s="11">
        <f>IF(A28&lt;&gt;"",INDEX('[1]01-数据'!$C$2:$ND$2,MATCH(A28,'[1]01-数据'!$C$1:$ND$1))," ")</f>
        <v>325.39</v>
      </c>
      <c r="C28" s="11">
        <f>IF(A28&lt;&gt;"",INDEX('[1]01-数据'!$C$3:$ND$3,MATCH(A28,'[1]01-数据'!$C$1:$ND$1))," ")</f>
        <v>8036.07</v>
      </c>
      <c r="D28" s="12">
        <f>IF(A28&lt;&gt;"",INDEX('[1]01-数据'!$C$4:$ND$4,MATCH(A28,'[1]01-数据'!$C$1:$ND$1))," ")</f>
        <v>0.0861</v>
      </c>
      <c r="E28" s="11">
        <f>IF(A28&lt;&gt;"",INDEX('[1]01-数据'!$C$6:$ND$6,MATCH(A28,'[1]01-数据'!$C$1:$ND$1))," ")</f>
        <v>54742.27</v>
      </c>
      <c r="F28" s="15">
        <f>IF(A28&lt;&gt;"",INDEX('[1]01-数据'!$C$7:$ND$7,MATCH(A28,'[1]01-数据'!$C$1:$ND$1))," ")</f>
        <v>0.0429</v>
      </c>
      <c r="G28" s="11">
        <f>IF(A28&lt;&gt;"",INDEX('[1]01-数据'!$C$11:$ND$11,MATCH(A28,'[1]01-数据'!$C$1:$ND$1))," ")</f>
        <v>14.64</v>
      </c>
      <c r="H28" s="11">
        <f>IF(A28&lt;&gt;"",INDEX('[1]01-数据'!$C$14:$ND$14,MATCH(A28,'[1]01-数据'!$C$1:$ND$1))," ")</f>
        <v>10.9</v>
      </c>
    </row>
    <row r="29" spans="1:8">
      <c r="A29" s="26">
        <v>45499</v>
      </c>
      <c r="B29" s="8">
        <f>IF(A29&lt;&gt;"",INDEX('[1]01-数据'!$C$2:$ND$2,MATCH(A29,'[1]01-数据'!$C$1:$ND$1))," ")</f>
        <v>321.98</v>
      </c>
      <c r="C29" s="8">
        <f>IF(A29&lt;&gt;"",INDEX('[1]01-数据'!$C$3:$ND$3,MATCH(A29,'[1]01-数据'!$C$1:$ND$1))," ")</f>
        <v>8353.06</v>
      </c>
      <c r="D29" s="9">
        <f>IF(A29&lt;&gt;"",INDEX('[1]01-数据'!$C$4:$ND$4,MATCH(A29,'[1]01-数据'!$C$1:$ND$1))," ")</f>
        <v>0.0842</v>
      </c>
      <c r="E29" s="8">
        <f>IF(A29&lt;&gt;"",INDEX('[1]01-数据'!$C$6:$ND$6,MATCH(A29,'[1]01-数据'!$C$1:$ND$1))," ")</f>
        <v>55064.26</v>
      </c>
      <c r="F29" s="14">
        <f>IF(A29&lt;&gt;"",INDEX('[1]01-数据'!$C$7:$ND$7,MATCH(A29,'[1]01-数据'!$C$1:$ND$1))," ")</f>
        <v>0.0429</v>
      </c>
      <c r="G29" s="8">
        <f>IF(A29&lt;&gt;"",INDEX('[1]01-数据'!$C$11:$ND$11,MATCH(A29,'[1]01-数据'!$C$1:$ND$1))," ")</f>
        <v>14.27</v>
      </c>
      <c r="H29" s="8">
        <f>IF(A29&lt;&gt;"",INDEX('[1]01-数据'!$C$14:$ND$14,MATCH(A29,'[1]01-数据'!$C$1:$ND$1))," ")</f>
        <v>11</v>
      </c>
    </row>
    <row r="30" spans="1:8">
      <c r="A30" s="26">
        <v>45500</v>
      </c>
      <c r="B30" s="8">
        <f>IF(A30&lt;&gt;"",INDEX('[1]01-数据'!$C$2:$ND$2,MATCH(A30,'[1]01-数据'!$C$1:$ND$1))," ")</f>
        <v>317.56</v>
      </c>
      <c r="C30" s="8">
        <f>IF(A30&lt;&gt;"",INDEX('[1]01-数据'!$C$3:$ND$3,MATCH(A30,'[1]01-数据'!$C$1:$ND$1))," ")</f>
        <v>8675.61</v>
      </c>
      <c r="D30" s="9">
        <f>IF(A30&lt;&gt;"",INDEX('[1]01-数据'!$C$4:$ND$4,MATCH(A30,'[1]01-数据'!$C$1:$ND$1))," ")</f>
        <v>0.0836</v>
      </c>
      <c r="E30" s="8">
        <f>IF(A30&lt;&gt;"",INDEX('[1]01-数据'!$C$6:$ND$6,MATCH(A30,'[1]01-数据'!$C$1:$ND$1))," ")</f>
        <v>55381.81</v>
      </c>
      <c r="F30" s="14">
        <f>IF(A30&lt;&gt;"",INDEX('[1]01-数据'!$C$7:$ND$7,MATCH(A30,'[1]01-数据'!$C$1:$ND$1))," ")</f>
        <v>0.043</v>
      </c>
      <c r="G30" s="8">
        <f>IF(A30&lt;&gt;"",INDEX('[1]01-数据'!$C$11:$ND$11,MATCH(A30,'[1]01-数据'!$C$1:$ND$1))," ")</f>
        <v>13.91</v>
      </c>
      <c r="H30" s="8">
        <f>IF(A30&lt;&gt;"",INDEX('[1]01-数据'!$C$14:$ND$14,MATCH(A30,'[1]01-数据'!$C$1:$ND$1))," ")</f>
        <v>10.98</v>
      </c>
    </row>
    <row r="31" spans="1:8">
      <c r="A31" s="25">
        <v>45501</v>
      </c>
      <c r="B31" s="11">
        <f>IF(A31&lt;&gt;"",INDEX('[1]01-数据'!$C$2:$ND$2,MATCH(A31,'[1]01-数据'!$C$1:$ND$1))," ")</f>
        <v>328.76</v>
      </c>
      <c r="C31" s="11">
        <f>IF(A31&lt;&gt;"",INDEX('[1]01-数据'!$C$3:$ND$3,MATCH(A31,'[1]01-数据'!$C$1:$ND$1))," ")</f>
        <v>9004.38</v>
      </c>
      <c r="D31" s="12">
        <f>IF(A31&lt;&gt;"",INDEX('[1]01-数据'!$C$4:$ND$4,MATCH(A31,'[1]01-数据'!$C$1:$ND$1))," ")</f>
        <v>0.0857</v>
      </c>
      <c r="E31" s="11">
        <f>IF(A31&lt;&gt;"",INDEX('[1]01-数据'!$C$6:$ND$6,MATCH(A31,'[1]01-数据'!$C$1:$ND$1))," ")</f>
        <v>55710.57</v>
      </c>
      <c r="F31" s="15">
        <f>IF(A31&lt;&gt;"",INDEX('[1]01-数据'!$C$7:$ND$7,MATCH(A31,'[1]01-数据'!$C$1:$ND$1))," ")</f>
        <v>0.0436</v>
      </c>
      <c r="G31" s="11">
        <f>IF(A31&lt;&gt;"",INDEX('[1]01-数据'!$C$11:$ND$11,MATCH(A31,'[1]01-数据'!$C$1:$ND$1))," ")</f>
        <v>14.82</v>
      </c>
      <c r="H31" s="11">
        <f>IF(A31&lt;&gt;"",INDEX('[1]01-数据'!$C$14:$ND$14,MATCH(A31,'[1]01-数据'!$C$1:$ND$1))," ")</f>
        <v>10.93</v>
      </c>
    </row>
    <row r="32" spans="1:8">
      <c r="A32" s="25">
        <v>45502</v>
      </c>
      <c r="B32" s="11">
        <f>IF(A32&lt;&gt;"",INDEX('[1]01-数据'!$C$2:$ND$2,MATCH(A32,'[1]01-数据'!$C$1:$ND$1))," ")</f>
        <v>326.57</v>
      </c>
      <c r="C32" s="11">
        <f>IF(A32&lt;&gt;"",INDEX('[1]01-数据'!$C$3:$ND$3,MATCH(A32,'[1]01-数据'!$C$1:$ND$1))," ")</f>
        <v>9330.95</v>
      </c>
      <c r="D32" s="12">
        <f>IF(A32&lt;&gt;"",INDEX('[1]01-数据'!$C$4:$ND$4,MATCH(A32,'[1]01-数据'!$C$1:$ND$1))," ")</f>
        <v>0.0861</v>
      </c>
      <c r="E32" s="11">
        <f>IF(A32&lt;&gt;"",INDEX('[1]01-数据'!$C$6:$ND$6,MATCH(A32,'[1]01-数据'!$C$1:$ND$1))," ")</f>
        <v>56037.15</v>
      </c>
      <c r="F32" s="15">
        <f>IF(A32&lt;&gt;"",INDEX('[1]01-数据'!$C$7:$ND$7,MATCH(A32,'[1]01-数据'!$C$1:$ND$1))," ")</f>
        <v>0.0439</v>
      </c>
      <c r="G32" s="11">
        <f>IF(A32&lt;&gt;"",INDEX('[1]01-数据'!$C$11:$ND$11,MATCH(A32,'[1]01-数据'!$C$1:$ND$1))," ")</f>
        <v>14.62</v>
      </c>
      <c r="H32" s="11">
        <f>IF(A32&lt;&gt;"",INDEX('[1]01-数据'!$C$14:$ND$14,MATCH(A32,'[1]01-数据'!$C$1:$ND$1))," ")</f>
        <v>11.01</v>
      </c>
    </row>
    <row r="33" spans="1:8">
      <c r="A33" s="25">
        <v>45503</v>
      </c>
      <c r="B33" s="11">
        <f>IF(A33&lt;&gt;"",INDEX('[1]01-数据'!$C$2:$ND$2,MATCH(A33,'[1]01-数据'!$C$1:$ND$1))," ")</f>
        <v>323.1</v>
      </c>
      <c r="C33" s="11">
        <f>IF(A33&lt;&gt;"",INDEX('[1]01-数据'!$C$3:$ND$3,MATCH(A33,'[1]01-数据'!$C$1:$ND$1))," ")</f>
        <v>9654.05</v>
      </c>
      <c r="D33" s="12">
        <f>IF(A33&lt;&gt;"",INDEX('[1]01-数据'!$C$4:$ND$4,MATCH(A33,'[1]01-数据'!$C$1:$ND$1))," ")</f>
        <v>0.0857</v>
      </c>
      <c r="E33" s="11">
        <f>IF(A33&lt;&gt;"",INDEX('[1]01-数据'!$C$6:$ND$6,MATCH(A33,'[1]01-数据'!$C$1:$ND$1))," ")</f>
        <v>56360.24</v>
      </c>
      <c r="F33" s="15">
        <f>IF(A33&lt;&gt;"",INDEX('[1]01-数据'!$C$7:$ND$7,MATCH(A33,'[1]01-数据'!$C$1:$ND$1))," ")</f>
        <v>0.0441</v>
      </c>
      <c r="G33" s="11">
        <f>IF(A33&lt;&gt;"",INDEX('[1]01-数据'!$C$11:$ND$11,MATCH(A33,'[1]01-数据'!$C$1:$ND$1))," ")</f>
        <v>14.42</v>
      </c>
      <c r="H33" s="11">
        <f>IF(A33&lt;&gt;"",INDEX('[1]01-数据'!$C$14:$ND$14,MATCH(A33,'[1]01-数据'!$C$1:$ND$1))," ")</f>
        <v>10.99</v>
      </c>
    </row>
    <row r="34" spans="1:8">
      <c r="A34" s="25">
        <v>45504</v>
      </c>
      <c r="B34" s="11">
        <f>IF(A34&lt;&gt;"",INDEX('[1]01-数据'!$C$2:$ND$2,MATCH(A34,'[1]01-数据'!$C$1:$ND$1))," ")</f>
        <v>317.66</v>
      </c>
      <c r="C34" s="11">
        <f>IF(A34&lt;&gt;"",INDEX('[1]01-数据'!$C$3:$ND$3,MATCH(A34,'[1]01-数据'!$C$1:$ND$1))," ")</f>
        <v>9971.71</v>
      </c>
      <c r="D34" s="12">
        <f>IF(A34&lt;&gt;"",INDEX('[1]01-数据'!$C$4:$ND$4,MATCH(A34,'[1]01-数据'!$C$1:$ND$1))," ")</f>
        <v>0.0843</v>
      </c>
      <c r="E34" s="11">
        <f>IF(A34&lt;&gt;"",INDEX('[1]01-数据'!$C$6:$ND$6,MATCH(A34,'[1]01-数据'!$C$1:$ND$1))," ")</f>
        <v>56677.91</v>
      </c>
      <c r="F34" s="15">
        <f>IF(A34&lt;&gt;"",INDEX('[1]01-数据'!$C$7:$ND$7,MATCH(A34,'[1]01-数据'!$C$1:$ND$1))," ")</f>
        <v>0.0441</v>
      </c>
      <c r="G34" s="11">
        <f>IF(A34&lt;&gt;"",INDEX('[1]01-数据'!$C$11:$ND$11,MATCH(A34,'[1]01-数据'!$C$1:$ND$1))," ")</f>
        <v>14.15</v>
      </c>
      <c r="H34" s="11">
        <f>IF(A34&lt;&gt;"",INDEX('[1]01-数据'!$C$14:$ND$14,MATCH(A34,'[1]01-数据'!$C$1:$ND$1))," ")</f>
        <v>10.79</v>
      </c>
    </row>
    <row r="35" spans="1:8">
      <c r="A35" s="13" t="s">
        <v>9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tabSelected="1" zoomScale="145" zoomScaleNormal="145" workbookViewId="0">
      <selection activeCell="H7" sqref="H7"/>
    </sheetView>
  </sheetViews>
  <sheetFormatPr defaultColWidth="9" defaultRowHeight="14.25"/>
  <cols>
    <col min="1" max="1" width="10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18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10">
        <v>45505</v>
      </c>
      <c r="B4" s="11">
        <f>IF(A4&lt;&gt;"",INDEX('[1]01-数据'!$C$2:$ND$2,MATCH(A4,'[1]01-数据'!$C$1:$ND$1))," ")</f>
        <v>320.25</v>
      </c>
      <c r="C4" s="11">
        <f>IF(A4&lt;&gt;"",INDEX('[1]01-数据'!$C$3:$ND$3,MATCH(A4,'[1]01-数据'!$C$1:$ND$1))," ")</f>
        <v>320.25</v>
      </c>
      <c r="D4" s="12">
        <f>IF(A4&lt;&gt;"",INDEX('[1]01-数据'!$C$4:$ND$4,MATCH(A4,'[1]01-数据'!$C$1:$ND$1))," ")</f>
        <v>0.0366</v>
      </c>
      <c r="E4" s="11">
        <f>IF(A4&lt;&gt;"",INDEX('[1]01-数据'!$C$6:$ND$6,MATCH(A4,'[1]01-数据'!$C$1:$ND$1))," ")</f>
        <v>56998.16</v>
      </c>
      <c r="F4" s="15">
        <f>IF(A4&lt;&gt;"",INDEX('[1]01-数据'!$C$7:$ND$7,MATCH(A4,'[1]01-数据'!$C$1:$ND$1))," ")</f>
        <v>0.044</v>
      </c>
      <c r="G4" s="11">
        <f>IF(A4&lt;&gt;"",INDEX('[1]01-数据'!$C$11:$ND$11,MATCH(A4,'[1]01-数据'!$C$1:$ND$1))," ")</f>
        <v>14.35</v>
      </c>
      <c r="H4" s="11">
        <f>IF(A4&lt;&gt;"",INDEX('[1]01-数据'!$C$14:$ND$14,MATCH(A4,'[1]01-数据'!$C$1:$ND$1))," ")</f>
        <v>10.76</v>
      </c>
    </row>
    <row r="5" spans="1:8">
      <c r="A5" s="10">
        <v>45506</v>
      </c>
      <c r="B5" s="11">
        <f>IF(A5&lt;&gt;"",INDEX('[1]01-数据'!$C$2:$ND$2,MATCH(A5,'[1]01-数据'!$C$1:$ND$1))," ")</f>
        <v>319.72</v>
      </c>
      <c r="C5" s="11">
        <f>IF(A5&lt;&gt;"",INDEX('[1]01-数据'!$C$3:$ND$3,MATCH(A5,'[1]01-数据'!$C$1:$ND$1))," ")</f>
        <v>639.97</v>
      </c>
      <c r="D5" s="12">
        <f>IF(A5&lt;&gt;"",INDEX('[1]01-数据'!$C$4:$ND$4,MATCH(A5,'[1]01-数据'!$C$1:$ND$1))," ")</f>
        <v>0.0238</v>
      </c>
      <c r="E5" s="11">
        <f>IF(A5&lt;&gt;"",INDEX('[1]01-数据'!$C$6:$ND$6,MATCH(A5,'[1]01-数据'!$C$1:$ND$1))," ")</f>
        <v>57317.88</v>
      </c>
      <c r="F5" s="15">
        <f>IF(A5&lt;&gt;"",INDEX('[1]01-数据'!$C$7:$ND$7,MATCH(A5,'[1]01-数据'!$C$1:$ND$1))," ")</f>
        <v>0.0438</v>
      </c>
      <c r="G5" s="11">
        <f>IF(A5&lt;&gt;"",INDEX('[1]01-数据'!$C$11:$ND$11,MATCH(A5,'[1]01-数据'!$C$1:$ND$1))," ")</f>
        <v>14.18</v>
      </c>
      <c r="H5" s="11">
        <f>IF(A5&lt;&gt;"",INDEX('[1]01-数据'!$C$14:$ND$14,MATCH(A5,'[1]01-数据'!$C$1:$ND$1))," ")</f>
        <v>10.9</v>
      </c>
    </row>
    <row r="6" spans="1:8">
      <c r="A6" s="7">
        <v>45507</v>
      </c>
      <c r="B6" s="8">
        <f>IF(A6&lt;&gt;"",INDEX('[1]01-数据'!$C$2:$ND$2,MATCH(A6,'[1]01-数据'!$C$1:$ND$1))," ")</f>
        <v>319.07</v>
      </c>
      <c r="C6" s="8">
        <f>IF(A6&lt;&gt;"",INDEX('[1]01-数据'!$C$3:$ND$3,MATCH(A6,'[1]01-数据'!$C$1:$ND$1))," ")</f>
        <v>959.04</v>
      </c>
      <c r="D6" s="9">
        <f>IF(A6&lt;&gt;"",INDEX('[1]01-数据'!$C$4:$ND$4,MATCH(A6,'[1]01-数据'!$C$1:$ND$1))," ")</f>
        <v>0.0191</v>
      </c>
      <c r="E6" s="8">
        <f>IF(A6&lt;&gt;"",INDEX('[1]01-数据'!$C$6:$ND$6,MATCH(A6,'[1]01-数据'!$C$1:$ND$1))," ")</f>
        <v>57636.95</v>
      </c>
      <c r="F6" s="14">
        <f>IF(A6&lt;&gt;"",INDEX('[1]01-数据'!$C$7:$ND$7,MATCH(A6,'[1]01-数据'!$C$1:$ND$1))," ")</f>
        <v>0.0436</v>
      </c>
      <c r="G6" s="8">
        <f>IF(A6&lt;&gt;"",INDEX('[1]01-数据'!$C$11:$ND$11,MATCH(A6,'[1]01-数据'!$C$1:$ND$1))," ")</f>
        <v>14.01</v>
      </c>
      <c r="H6" s="8">
        <f>IF(A6&lt;&gt;"",INDEX('[1]01-数据'!$C$14:$ND$14,MATCH(A6,'[1]01-数据'!$C$1:$ND$1))," ")</f>
        <v>10.91</v>
      </c>
    </row>
    <row r="7" spans="1:8">
      <c r="A7" s="7">
        <v>45508</v>
      </c>
      <c r="B7" s="8">
        <f>IF(A7&lt;&gt;"",INDEX('[1]01-数据'!$C$2:$ND$2,MATCH(A7,'[1]01-数据'!$C$1:$ND$1))," ")</f>
        <v>332.6</v>
      </c>
      <c r="C7" s="8">
        <f>IF(A7&lt;&gt;"",INDEX('[1]01-数据'!$C$3:$ND$3,MATCH(A7,'[1]01-数据'!$C$1:$ND$1))," ")</f>
        <v>1291.64</v>
      </c>
      <c r="D7" s="9">
        <f>IF(A7&lt;&gt;"",INDEX('[1]01-数据'!$C$4:$ND$4,MATCH(A7,'[1]01-数据'!$C$1:$ND$1))," ")</f>
        <v>0.0346</v>
      </c>
      <c r="E7" s="8">
        <f>IF(A7&lt;&gt;"",INDEX('[1]01-数据'!$C$6:$ND$6,MATCH(A7,'[1]01-数据'!$C$1:$ND$1))," ")</f>
        <v>57969.54</v>
      </c>
      <c r="F7" s="14">
        <f>IF(A7&lt;&gt;"",INDEX('[1]01-数据'!$C$7:$ND$7,MATCH(A7,'[1]01-数据'!$C$1:$ND$1))," ")</f>
        <v>0.0438</v>
      </c>
      <c r="G7" s="8">
        <f>IF(A7&lt;&gt;"",INDEX('[1]01-数据'!$C$11:$ND$11,MATCH(A7,'[1]01-数据'!$C$1:$ND$1))," ")</f>
        <v>15.01</v>
      </c>
      <c r="H7" s="8">
        <f>IF(A7&lt;&gt;"",INDEX('[1]01-数据'!$C$14:$ND$14,MATCH(A7,'[1]01-数据'!$C$1:$ND$1))," ")</f>
        <v>11.04</v>
      </c>
    </row>
    <row r="8" spans="1:8">
      <c r="A8" s="10">
        <v>45509</v>
      </c>
      <c r="B8" s="11">
        <f>IF(A8&lt;&gt;"",INDEX('[1]01-数据'!$C$2:$ND$2,MATCH(A8,'[1]01-数据'!$C$1:$ND$1))," ")</f>
        <v>0</v>
      </c>
      <c r="C8" s="11">
        <f>IF(A8&lt;&gt;"",INDEX('[1]01-数据'!$C$3:$ND$3,MATCH(A8,'[1]01-数据'!$C$1:$ND$1))," ")</f>
        <v>0</v>
      </c>
      <c r="D8" s="12">
        <f>IF(A8&lt;&gt;"",INDEX('[1]01-数据'!$C$4:$ND$4,MATCH(A8,'[1]01-数据'!$C$1:$ND$1))," ")</f>
        <v>0</v>
      </c>
      <c r="E8" s="11">
        <f>IF(A8&lt;&gt;"",INDEX('[1]01-数据'!$C$6:$ND$6,MATCH(A8,'[1]01-数据'!$C$1:$ND$1))," ")</f>
        <v>0</v>
      </c>
      <c r="F8" s="15">
        <f>IF(A8&lt;&gt;"",INDEX('[1]01-数据'!$C$7:$ND$7,MATCH(A8,'[1]01-数据'!$C$1:$ND$1))," ")</f>
        <v>0</v>
      </c>
      <c r="G8" s="11">
        <f>IF(A8&lt;&gt;"",INDEX('[1]01-数据'!$C$11:$ND$11,MATCH(A8,'[1]01-数据'!$C$1:$ND$1))," ")</f>
        <v>0</v>
      </c>
      <c r="H8" s="11">
        <f>IF(A8&lt;&gt;"",INDEX('[1]01-数据'!$C$14:$ND$14,MATCH(A8,'[1]01-数据'!$C$1:$ND$1))," ")</f>
        <v>0</v>
      </c>
    </row>
    <row r="9" spans="1:8">
      <c r="A9" s="10">
        <v>45510</v>
      </c>
      <c r="B9" s="11">
        <f>IF(A9&lt;&gt;"",INDEX('[1]01-数据'!$C$2:$ND$2,MATCH(A9,'[1]01-数据'!$C$1:$ND$1))," ")</f>
        <v>0</v>
      </c>
      <c r="C9" s="11">
        <f>IF(A9&lt;&gt;"",INDEX('[1]01-数据'!$C$3:$ND$3,MATCH(A9,'[1]01-数据'!$C$1:$ND$1))," ")</f>
        <v>0</v>
      </c>
      <c r="D9" s="12">
        <f>IF(A9&lt;&gt;"",INDEX('[1]01-数据'!$C$4:$ND$4,MATCH(A9,'[1]01-数据'!$C$1:$ND$1))," ")</f>
        <v>0</v>
      </c>
      <c r="E9" s="11">
        <f>IF(A9&lt;&gt;"",INDEX('[1]01-数据'!$C$6:$ND$6,MATCH(A9,'[1]01-数据'!$C$1:$ND$1))," ")</f>
        <v>0</v>
      </c>
      <c r="F9" s="15">
        <f>IF(A9&lt;&gt;"",INDEX('[1]01-数据'!$C$7:$ND$7,MATCH(A9,'[1]01-数据'!$C$1:$ND$1))," ")</f>
        <v>0</v>
      </c>
      <c r="G9" s="11">
        <f>IF(A9&lt;&gt;"",INDEX('[1]01-数据'!$C$11:$ND$11,MATCH(A9,'[1]01-数据'!$C$1:$ND$1))," ")</f>
        <v>0</v>
      </c>
      <c r="H9" s="11">
        <f>IF(A9&lt;&gt;"",INDEX('[1]01-数据'!$C$14:$ND$14,MATCH(A9,'[1]01-数据'!$C$1:$ND$1))," ")</f>
        <v>0</v>
      </c>
    </row>
    <row r="10" spans="1:8">
      <c r="A10" s="10">
        <v>45511</v>
      </c>
      <c r="B10" s="11">
        <f>IF(A10&lt;&gt;"",INDEX('[1]01-数据'!$C$2:$ND$2,MATCH(A10,'[1]01-数据'!$C$1:$ND$1))," ")</f>
        <v>0</v>
      </c>
      <c r="C10" s="11">
        <f>IF(A10&lt;&gt;"",INDEX('[1]01-数据'!$C$3:$ND$3,MATCH(A10,'[1]01-数据'!$C$1:$ND$1))," ")</f>
        <v>0</v>
      </c>
      <c r="D10" s="12">
        <f>IF(A10&lt;&gt;"",INDEX('[1]01-数据'!$C$4:$ND$4,MATCH(A10,'[1]01-数据'!$C$1:$ND$1))," ")</f>
        <v>0</v>
      </c>
      <c r="E10" s="11">
        <f>IF(A10&lt;&gt;"",INDEX('[1]01-数据'!$C$6:$ND$6,MATCH(A10,'[1]01-数据'!$C$1:$ND$1))," ")</f>
        <v>0</v>
      </c>
      <c r="F10" s="15">
        <f>IF(A10&lt;&gt;"",INDEX('[1]01-数据'!$C$7:$ND$7,MATCH(A10,'[1]01-数据'!$C$1:$ND$1))," ")</f>
        <v>0</v>
      </c>
      <c r="G10" s="11">
        <f>IF(A10&lt;&gt;"",INDEX('[1]01-数据'!$C$11:$ND$11,MATCH(A10,'[1]01-数据'!$C$1:$ND$1))," ")</f>
        <v>0</v>
      </c>
      <c r="H10" s="11">
        <f>IF(A10&lt;&gt;"",INDEX('[1]01-数据'!$C$14:$ND$14,MATCH(A10,'[1]01-数据'!$C$1:$ND$1))," ")</f>
        <v>0</v>
      </c>
    </row>
    <row r="11" spans="1:8">
      <c r="A11" s="10">
        <v>45512</v>
      </c>
      <c r="B11" s="11">
        <f>IF(A11&lt;&gt;"",INDEX('[1]01-数据'!$C$2:$ND$2,MATCH(A11,'[1]01-数据'!$C$1:$ND$1))," ")</f>
        <v>0</v>
      </c>
      <c r="C11" s="11">
        <f>IF(A11&lt;&gt;"",INDEX('[1]01-数据'!$C$3:$ND$3,MATCH(A11,'[1]01-数据'!$C$1:$ND$1))," ")</f>
        <v>0</v>
      </c>
      <c r="D11" s="12">
        <f>IF(A11&lt;&gt;"",INDEX('[1]01-数据'!$C$4:$ND$4,MATCH(A11,'[1]01-数据'!$C$1:$ND$1))," ")</f>
        <v>0</v>
      </c>
      <c r="E11" s="11">
        <f>IF(A11&lt;&gt;"",INDEX('[1]01-数据'!$C$6:$ND$6,MATCH(A11,'[1]01-数据'!$C$1:$ND$1))," ")</f>
        <v>0</v>
      </c>
      <c r="F11" s="15">
        <f>IF(A11&lt;&gt;"",INDEX('[1]01-数据'!$C$7:$ND$7,MATCH(A11,'[1]01-数据'!$C$1:$ND$1))," ")</f>
        <v>0</v>
      </c>
      <c r="G11" s="11">
        <f>IF(A11&lt;&gt;"",INDEX('[1]01-数据'!$C$11:$ND$11,MATCH(A11,'[1]01-数据'!$C$1:$ND$1))," ")</f>
        <v>0</v>
      </c>
      <c r="H11" s="11">
        <f>IF(A11&lt;&gt;"",INDEX('[1]01-数据'!$C$14:$ND$14,MATCH(A11,'[1]01-数据'!$C$1:$ND$1))," ")</f>
        <v>0</v>
      </c>
    </row>
    <row r="12" spans="1:8">
      <c r="A12" s="10">
        <v>45513</v>
      </c>
      <c r="B12" s="11">
        <f>IF(A12&lt;&gt;"",INDEX('[1]01-数据'!$C$2:$ND$2,MATCH(A12,'[1]01-数据'!$C$1:$ND$1))," ")</f>
        <v>0</v>
      </c>
      <c r="C12" s="11">
        <f>IF(A12&lt;&gt;"",INDEX('[1]01-数据'!$C$3:$ND$3,MATCH(A12,'[1]01-数据'!$C$1:$ND$1))," ")</f>
        <v>0</v>
      </c>
      <c r="D12" s="12">
        <f>IF(A12&lt;&gt;"",INDEX('[1]01-数据'!$C$4:$ND$4,MATCH(A12,'[1]01-数据'!$C$1:$ND$1))," ")</f>
        <v>0</v>
      </c>
      <c r="E12" s="11">
        <f>IF(A12&lt;&gt;"",INDEX('[1]01-数据'!$C$6:$ND$6,MATCH(A12,'[1]01-数据'!$C$1:$ND$1))," ")</f>
        <v>0</v>
      </c>
      <c r="F12" s="15">
        <f>IF(A12&lt;&gt;"",INDEX('[1]01-数据'!$C$7:$ND$7,MATCH(A12,'[1]01-数据'!$C$1:$ND$1))," ")</f>
        <v>0</v>
      </c>
      <c r="G12" s="11">
        <f>IF(A12&lt;&gt;"",INDEX('[1]01-数据'!$C$11:$ND$11,MATCH(A12,'[1]01-数据'!$C$1:$ND$1))," ")</f>
        <v>0</v>
      </c>
      <c r="H12" s="11">
        <f>IF(A12&lt;&gt;"",INDEX('[1]01-数据'!$C$14:$ND$14,MATCH(A12,'[1]01-数据'!$C$1:$ND$1))," ")</f>
        <v>0</v>
      </c>
    </row>
    <row r="13" spans="1:11">
      <c r="A13" s="7">
        <v>45514</v>
      </c>
      <c r="B13" s="8">
        <f>IF(A13&lt;&gt;"",INDEX('[1]01-数据'!$C$2:$ND$2,MATCH(A13,'[1]01-数据'!$C$1:$ND$1))," ")</f>
        <v>0</v>
      </c>
      <c r="C13" s="8">
        <f>IF(A13&lt;&gt;"",INDEX('[1]01-数据'!$C$3:$ND$3,MATCH(A13,'[1]01-数据'!$C$1:$ND$1))," ")</f>
        <v>0</v>
      </c>
      <c r="D13" s="9">
        <f>IF(A13&lt;&gt;"",INDEX('[1]01-数据'!$C$4:$ND$4,MATCH(A13,'[1]01-数据'!$C$1:$ND$1))," ")</f>
        <v>0</v>
      </c>
      <c r="E13" s="8">
        <f>IF(A13&lt;&gt;"",INDEX('[1]01-数据'!$C$6:$ND$6,MATCH(A13,'[1]01-数据'!$C$1:$ND$1))," ")</f>
        <v>0</v>
      </c>
      <c r="F13" s="14">
        <f>IF(A13&lt;&gt;"",INDEX('[1]01-数据'!$C$7:$ND$7,MATCH(A13,'[1]01-数据'!$C$1:$ND$1))," ")</f>
        <v>0</v>
      </c>
      <c r="G13" s="8">
        <f>IF(A13&lt;&gt;"",INDEX('[1]01-数据'!$C$11:$ND$11,MATCH(A13,'[1]01-数据'!$C$1:$ND$1))," ")</f>
        <v>0</v>
      </c>
      <c r="H13" s="8">
        <f>IF(A13&lt;&gt;"",INDEX('[1]01-数据'!$C$14:$ND$14,MATCH(A13,'[1]01-数据'!$C$1:$ND$1))," ")</f>
        <v>0</v>
      </c>
      <c r="K13" s="17"/>
    </row>
    <row r="14" spans="1:11">
      <c r="A14" s="7">
        <v>45515</v>
      </c>
      <c r="B14" s="8">
        <f>IF(A14&lt;&gt;"",INDEX('[1]01-数据'!$C$2:$ND$2,MATCH(A14,'[1]01-数据'!$C$1:$ND$1))," ")</f>
        <v>0</v>
      </c>
      <c r="C14" s="8">
        <f>IF(A14&lt;&gt;"",INDEX('[1]01-数据'!$C$3:$ND$3,MATCH(A14,'[1]01-数据'!$C$1:$ND$1))," ")</f>
        <v>0</v>
      </c>
      <c r="D14" s="9">
        <f>IF(A14&lt;&gt;"",INDEX('[1]01-数据'!$C$4:$ND$4,MATCH(A14,'[1]01-数据'!$C$1:$ND$1))," ")</f>
        <v>0</v>
      </c>
      <c r="E14" s="8">
        <f>IF(A14&lt;&gt;"",INDEX('[1]01-数据'!$C$6:$ND$6,MATCH(A14,'[1]01-数据'!$C$1:$ND$1))," ")</f>
        <v>0</v>
      </c>
      <c r="F14" s="14">
        <f>IF(A14&lt;&gt;"",INDEX('[1]01-数据'!$C$7:$ND$7,MATCH(A14,'[1]01-数据'!$C$1:$ND$1))," ")</f>
        <v>0</v>
      </c>
      <c r="G14" s="8">
        <f>IF(A14&lt;&gt;"",INDEX('[1]01-数据'!$C$11:$ND$11,MATCH(A14,'[1]01-数据'!$C$1:$ND$1))," ")</f>
        <v>0</v>
      </c>
      <c r="H14" s="8">
        <f>IF(A14&lt;&gt;"",INDEX('[1]01-数据'!$C$14:$ND$14,MATCH(A14,'[1]01-数据'!$C$1:$ND$1))," ")</f>
        <v>0</v>
      </c>
      <c r="K14" s="17"/>
    </row>
    <row r="15" spans="1:11">
      <c r="A15" s="10">
        <v>45516</v>
      </c>
      <c r="B15" s="11">
        <f>IF(A15&lt;&gt;"",INDEX('[1]01-数据'!$C$2:$ND$2,MATCH(A15,'[1]01-数据'!$C$1:$ND$1))," ")</f>
        <v>0</v>
      </c>
      <c r="C15" s="11">
        <f>IF(A15&lt;&gt;"",INDEX('[1]01-数据'!$C$3:$ND$3,MATCH(A15,'[1]01-数据'!$C$1:$ND$1))," ")</f>
        <v>0</v>
      </c>
      <c r="D15" s="12">
        <f>IF(A15&lt;&gt;"",INDEX('[1]01-数据'!$C$4:$ND$4,MATCH(A15,'[1]01-数据'!$C$1:$ND$1))," ")</f>
        <v>0</v>
      </c>
      <c r="E15" s="11">
        <f>IF(A15&lt;&gt;"",INDEX('[1]01-数据'!$C$6:$ND$6,MATCH(A15,'[1]01-数据'!$C$1:$ND$1))," ")</f>
        <v>0</v>
      </c>
      <c r="F15" s="15">
        <f>IF(A15&lt;&gt;"",INDEX('[1]01-数据'!$C$7:$ND$7,MATCH(A15,'[1]01-数据'!$C$1:$ND$1))," ")</f>
        <v>0</v>
      </c>
      <c r="G15" s="11">
        <f>IF(A15&lt;&gt;"",INDEX('[1]01-数据'!$C$11:$ND$11,MATCH(A15,'[1]01-数据'!$C$1:$ND$1))," ")</f>
        <v>0</v>
      </c>
      <c r="H15" s="11">
        <f>IF(A15&lt;&gt;"",INDEX('[1]01-数据'!$C$14:$ND$14,MATCH(A15,'[1]01-数据'!$C$1:$ND$1))," ")</f>
        <v>0</v>
      </c>
      <c r="K15" s="17"/>
    </row>
    <row r="16" spans="1:8">
      <c r="A16" s="10">
        <v>45517</v>
      </c>
      <c r="B16" s="11">
        <f>IF(A16&lt;&gt;"",INDEX('[1]01-数据'!$C$2:$ND$2,MATCH(A16,'[1]01-数据'!$C$1:$ND$1))," ")</f>
        <v>0</v>
      </c>
      <c r="C16" s="11">
        <f>IF(A16&lt;&gt;"",INDEX('[1]01-数据'!$C$3:$ND$3,MATCH(A16,'[1]01-数据'!$C$1:$ND$1))," ")</f>
        <v>0</v>
      </c>
      <c r="D16" s="12">
        <f>IF(A16&lt;&gt;"",INDEX('[1]01-数据'!$C$4:$ND$4,MATCH(A16,'[1]01-数据'!$C$1:$ND$1))," ")</f>
        <v>0</v>
      </c>
      <c r="E16" s="11">
        <f>IF(A16&lt;&gt;"",INDEX('[1]01-数据'!$C$6:$ND$6,MATCH(A16,'[1]01-数据'!$C$1:$ND$1))," ")</f>
        <v>0</v>
      </c>
      <c r="F16" s="15">
        <f>IF(A16&lt;&gt;"",INDEX('[1]01-数据'!$C$7:$ND$7,MATCH(A16,'[1]01-数据'!$C$1:$ND$1))," ")</f>
        <v>0</v>
      </c>
      <c r="G16" s="11">
        <f>IF(A16&lt;&gt;"",INDEX('[1]01-数据'!$C$11:$ND$11,MATCH(A16,'[1]01-数据'!$C$1:$ND$1))," ")</f>
        <v>0</v>
      </c>
      <c r="H16" s="11">
        <f>IF(A16&lt;&gt;"",INDEX('[1]01-数据'!$C$14:$ND$14,MATCH(A16,'[1]01-数据'!$C$1:$ND$1))," ")</f>
        <v>0</v>
      </c>
    </row>
    <row r="17" spans="1:8">
      <c r="A17" s="10">
        <v>45518</v>
      </c>
      <c r="B17" s="11">
        <f>IF(A17&lt;&gt;"",INDEX('[1]01-数据'!$C$2:$ND$2,MATCH(A17,'[1]01-数据'!$C$1:$ND$1))," ")</f>
        <v>0</v>
      </c>
      <c r="C17" s="11">
        <f>IF(A17&lt;&gt;"",INDEX('[1]01-数据'!$C$3:$ND$3,MATCH(A17,'[1]01-数据'!$C$1:$ND$1))," ")</f>
        <v>0</v>
      </c>
      <c r="D17" s="12">
        <f>IF(A17&lt;&gt;"",INDEX('[1]01-数据'!$C$4:$ND$4,MATCH(A17,'[1]01-数据'!$C$1:$ND$1))," ")</f>
        <v>0</v>
      </c>
      <c r="E17" s="11">
        <f>IF(A17&lt;&gt;"",INDEX('[1]01-数据'!$C$6:$ND$6,MATCH(A17,'[1]01-数据'!$C$1:$ND$1))," ")</f>
        <v>0</v>
      </c>
      <c r="F17" s="15">
        <f>IF(A17&lt;&gt;"",INDEX('[1]01-数据'!$C$7:$ND$7,MATCH(A17,'[1]01-数据'!$C$1:$ND$1))," ")</f>
        <v>0</v>
      </c>
      <c r="G17" s="11">
        <f>IF(A17&lt;&gt;"",INDEX('[1]01-数据'!$C$11:$ND$11,MATCH(A17,'[1]01-数据'!$C$1:$ND$1))," ")</f>
        <v>0</v>
      </c>
      <c r="H17" s="11">
        <f>IF(A17&lt;&gt;"",INDEX('[1]01-数据'!$C$14:$ND$14,MATCH(A17,'[1]01-数据'!$C$1:$ND$1))," ")</f>
        <v>0</v>
      </c>
    </row>
    <row r="18" spans="1:8">
      <c r="A18" s="10">
        <v>45519</v>
      </c>
      <c r="B18" s="11">
        <f>IF(A18&lt;&gt;"",INDEX('[1]01-数据'!$C$2:$ND$2,MATCH(A18,'[1]01-数据'!$C$1:$ND$1))," ")</f>
        <v>0</v>
      </c>
      <c r="C18" s="11">
        <f>IF(A18&lt;&gt;"",INDEX('[1]01-数据'!$C$3:$ND$3,MATCH(A18,'[1]01-数据'!$C$1:$ND$1))," ")</f>
        <v>0</v>
      </c>
      <c r="D18" s="12">
        <f>IF(A18&lt;&gt;"",INDEX('[1]01-数据'!$C$4:$ND$4,MATCH(A18,'[1]01-数据'!$C$1:$ND$1))," ")</f>
        <v>0</v>
      </c>
      <c r="E18" s="11">
        <f>IF(A18&lt;&gt;"",INDEX('[1]01-数据'!$C$6:$ND$6,MATCH(A18,'[1]01-数据'!$C$1:$ND$1))," ")</f>
        <v>0</v>
      </c>
      <c r="F18" s="15">
        <f>IF(A18&lt;&gt;"",INDEX('[1]01-数据'!$C$7:$ND$7,MATCH(A18,'[1]01-数据'!$C$1:$ND$1))," ")</f>
        <v>0</v>
      </c>
      <c r="G18" s="11">
        <f>IF(A18&lt;&gt;"",INDEX('[1]01-数据'!$C$11:$ND$11,MATCH(A18,'[1]01-数据'!$C$1:$ND$1))," ")</f>
        <v>0</v>
      </c>
      <c r="H18" s="11">
        <f>IF(A18&lt;&gt;"",INDEX('[1]01-数据'!$C$14:$ND$14,MATCH(A18,'[1]01-数据'!$C$1:$ND$1))," ")</f>
        <v>0</v>
      </c>
    </row>
    <row r="19" spans="1:8">
      <c r="A19" s="10">
        <v>45520</v>
      </c>
      <c r="B19" s="11">
        <f>IF(A19&lt;&gt;"",INDEX('[1]01-数据'!$C$2:$ND$2,MATCH(A19,'[1]01-数据'!$C$1:$ND$1))," ")</f>
        <v>0</v>
      </c>
      <c r="C19" s="11">
        <f>IF(A19&lt;&gt;"",INDEX('[1]01-数据'!$C$3:$ND$3,MATCH(A19,'[1]01-数据'!$C$1:$ND$1))," ")</f>
        <v>0</v>
      </c>
      <c r="D19" s="12">
        <f>IF(A19&lt;&gt;"",INDEX('[1]01-数据'!$C$4:$ND$4,MATCH(A19,'[1]01-数据'!$C$1:$ND$1))," ")</f>
        <v>0</v>
      </c>
      <c r="E19" s="11">
        <f>IF(A19&lt;&gt;"",INDEX('[1]01-数据'!$C$6:$ND$6,MATCH(A19,'[1]01-数据'!$C$1:$ND$1))," ")</f>
        <v>0</v>
      </c>
      <c r="F19" s="15">
        <f>IF(A19&lt;&gt;"",INDEX('[1]01-数据'!$C$7:$ND$7,MATCH(A19,'[1]01-数据'!$C$1:$ND$1))," ")</f>
        <v>0</v>
      </c>
      <c r="G19" s="11">
        <f>IF(A19&lt;&gt;"",INDEX('[1]01-数据'!$C$11:$ND$11,MATCH(A19,'[1]01-数据'!$C$1:$ND$1))," ")</f>
        <v>0</v>
      </c>
      <c r="H19" s="11">
        <f>IF(A19&lt;&gt;"",INDEX('[1]01-数据'!$C$14:$ND$14,MATCH(A19,'[1]01-数据'!$C$1:$ND$1))," ")</f>
        <v>0</v>
      </c>
    </row>
    <row r="20" spans="1:8">
      <c r="A20" s="7">
        <v>45521</v>
      </c>
      <c r="B20" s="8">
        <f>IF(A20&lt;&gt;"",INDEX('[1]01-数据'!$C$2:$ND$2,MATCH(A20,'[1]01-数据'!$C$1:$ND$1))," ")</f>
        <v>0</v>
      </c>
      <c r="C20" s="8">
        <f>IF(A20&lt;&gt;"",INDEX('[1]01-数据'!$C$3:$ND$3,MATCH(A20,'[1]01-数据'!$C$1:$ND$1))," ")</f>
        <v>0</v>
      </c>
      <c r="D20" s="9">
        <f>IF(A20&lt;&gt;"",INDEX('[1]01-数据'!$C$4:$ND$4,MATCH(A20,'[1]01-数据'!$C$1:$ND$1))," ")</f>
        <v>0</v>
      </c>
      <c r="E20" s="8">
        <f>IF(A20&lt;&gt;"",INDEX('[1]01-数据'!$C$6:$ND$6,MATCH(A20,'[1]01-数据'!$C$1:$ND$1))," ")</f>
        <v>0</v>
      </c>
      <c r="F20" s="14">
        <f>IF(A20&lt;&gt;"",INDEX('[1]01-数据'!$C$7:$ND$7,MATCH(A20,'[1]01-数据'!$C$1:$ND$1))," ")</f>
        <v>0</v>
      </c>
      <c r="G20" s="8">
        <f>IF(A20&lt;&gt;"",INDEX('[1]01-数据'!$C$11:$ND$11,MATCH(A20,'[1]01-数据'!$C$1:$ND$1))," ")</f>
        <v>0</v>
      </c>
      <c r="H20" s="8">
        <f>IF(A20&lt;&gt;"",INDEX('[1]01-数据'!$C$14:$ND$14,MATCH(A20,'[1]01-数据'!$C$1:$ND$1))," ")</f>
        <v>0</v>
      </c>
    </row>
    <row r="21" spans="1:8">
      <c r="A21" s="7">
        <v>45522</v>
      </c>
      <c r="B21" s="8">
        <f>IF(A21&lt;&gt;"",INDEX('[1]01-数据'!$C$2:$ND$2,MATCH(A21,'[1]01-数据'!$C$1:$ND$1))," ")</f>
        <v>0</v>
      </c>
      <c r="C21" s="8">
        <f>IF(A21&lt;&gt;"",INDEX('[1]01-数据'!$C$3:$ND$3,MATCH(A21,'[1]01-数据'!$C$1:$ND$1))," ")</f>
        <v>0</v>
      </c>
      <c r="D21" s="9">
        <f>IF(A21&lt;&gt;"",INDEX('[1]01-数据'!$C$4:$ND$4,MATCH(A21,'[1]01-数据'!$C$1:$ND$1))," ")</f>
        <v>0</v>
      </c>
      <c r="E21" s="8">
        <f>IF(A21&lt;&gt;"",INDEX('[1]01-数据'!$C$6:$ND$6,MATCH(A21,'[1]01-数据'!$C$1:$ND$1))," ")</f>
        <v>0</v>
      </c>
      <c r="F21" s="14">
        <f>IF(A21&lt;&gt;"",INDEX('[1]01-数据'!$C$7:$ND$7,MATCH(A21,'[1]01-数据'!$C$1:$ND$1))," ")</f>
        <v>0</v>
      </c>
      <c r="G21" s="8">
        <f>IF(A21&lt;&gt;"",INDEX('[1]01-数据'!$C$11:$ND$11,MATCH(A21,'[1]01-数据'!$C$1:$ND$1))," ")</f>
        <v>0</v>
      </c>
      <c r="H21" s="8">
        <f>IF(A21&lt;&gt;"",INDEX('[1]01-数据'!$C$14:$ND$14,MATCH(A21,'[1]01-数据'!$C$1:$ND$1))," ")</f>
        <v>0</v>
      </c>
    </row>
    <row r="22" spans="1:8">
      <c r="A22" s="10">
        <v>45523</v>
      </c>
      <c r="B22" s="11">
        <f>IF(A22&lt;&gt;"",INDEX('[1]01-数据'!$C$2:$ND$2,MATCH(A22,'[1]01-数据'!$C$1:$ND$1))," ")</f>
        <v>0</v>
      </c>
      <c r="C22" s="11">
        <f>IF(A22&lt;&gt;"",INDEX('[1]01-数据'!$C$3:$ND$3,MATCH(A22,'[1]01-数据'!$C$1:$ND$1))," ")</f>
        <v>0</v>
      </c>
      <c r="D22" s="12">
        <f>IF(A22&lt;&gt;"",INDEX('[1]01-数据'!$C$4:$ND$4,MATCH(A22,'[1]01-数据'!$C$1:$ND$1))," ")</f>
        <v>0</v>
      </c>
      <c r="E22" s="11">
        <f>IF(A22&lt;&gt;"",INDEX('[1]01-数据'!$C$6:$ND$6,MATCH(A22,'[1]01-数据'!$C$1:$ND$1))," ")</f>
        <v>0</v>
      </c>
      <c r="F22" s="15">
        <f>IF(A22&lt;&gt;"",INDEX('[1]01-数据'!$C$7:$ND$7,MATCH(A22,'[1]01-数据'!$C$1:$ND$1))," ")</f>
        <v>0</v>
      </c>
      <c r="G22" s="11">
        <f>IF(A22&lt;&gt;"",INDEX('[1]01-数据'!$C$11:$ND$11,MATCH(A22,'[1]01-数据'!$C$1:$ND$1))," ")</f>
        <v>0</v>
      </c>
      <c r="H22" s="11">
        <f>IF(A22&lt;&gt;"",INDEX('[1]01-数据'!$C$14:$ND$14,MATCH(A22,'[1]01-数据'!$C$1:$ND$1))," ")</f>
        <v>0</v>
      </c>
    </row>
    <row r="23" spans="1:8">
      <c r="A23" s="10">
        <v>45524</v>
      </c>
      <c r="B23" s="11">
        <f>IF(A23&lt;&gt;"",INDEX('[1]01-数据'!$C$2:$ND$2,MATCH(A23,'[1]01-数据'!$C$1:$ND$1))," ")</f>
        <v>0</v>
      </c>
      <c r="C23" s="11">
        <f>IF(A23&lt;&gt;"",INDEX('[1]01-数据'!$C$3:$ND$3,MATCH(A23,'[1]01-数据'!$C$1:$ND$1))," ")</f>
        <v>0</v>
      </c>
      <c r="D23" s="12">
        <f>IF(A23&lt;&gt;"",INDEX('[1]01-数据'!$C$4:$ND$4,MATCH(A23,'[1]01-数据'!$C$1:$ND$1))," ")</f>
        <v>0</v>
      </c>
      <c r="E23" s="11">
        <f>IF(A23&lt;&gt;"",INDEX('[1]01-数据'!$C$6:$ND$6,MATCH(A23,'[1]01-数据'!$C$1:$ND$1))," ")</f>
        <v>0</v>
      </c>
      <c r="F23" s="15">
        <f>IF(A23&lt;&gt;"",INDEX('[1]01-数据'!$C$7:$ND$7,MATCH(A23,'[1]01-数据'!$C$1:$ND$1))," ")</f>
        <v>0</v>
      </c>
      <c r="G23" s="11">
        <f>IF(A23&lt;&gt;"",INDEX('[1]01-数据'!$C$11:$ND$11,MATCH(A23,'[1]01-数据'!$C$1:$ND$1))," ")</f>
        <v>0</v>
      </c>
      <c r="H23" s="11">
        <f>IF(A23&lt;&gt;"",INDEX('[1]01-数据'!$C$14:$ND$14,MATCH(A23,'[1]01-数据'!$C$1:$ND$1))," ")</f>
        <v>0</v>
      </c>
    </row>
    <row r="24" spans="1:8">
      <c r="A24" s="10">
        <v>45525</v>
      </c>
      <c r="B24" s="11">
        <f>IF(A24&lt;&gt;"",INDEX('[1]01-数据'!$C$2:$ND$2,MATCH(A24,'[1]01-数据'!$C$1:$ND$1))," ")</f>
        <v>0</v>
      </c>
      <c r="C24" s="11">
        <f>IF(A24&lt;&gt;"",INDEX('[1]01-数据'!$C$3:$ND$3,MATCH(A24,'[1]01-数据'!$C$1:$ND$1))," ")</f>
        <v>0</v>
      </c>
      <c r="D24" s="12">
        <f>IF(A24&lt;&gt;"",INDEX('[1]01-数据'!$C$4:$ND$4,MATCH(A24,'[1]01-数据'!$C$1:$ND$1))," ")</f>
        <v>0</v>
      </c>
      <c r="E24" s="11">
        <f>IF(A24&lt;&gt;"",INDEX('[1]01-数据'!$C$6:$ND$6,MATCH(A24,'[1]01-数据'!$C$1:$ND$1))," ")</f>
        <v>0</v>
      </c>
      <c r="F24" s="15">
        <f>IF(A24&lt;&gt;"",INDEX('[1]01-数据'!$C$7:$ND$7,MATCH(A24,'[1]01-数据'!$C$1:$ND$1))," ")</f>
        <v>0</v>
      </c>
      <c r="G24" s="11">
        <f>IF(A24&lt;&gt;"",INDEX('[1]01-数据'!$C$11:$ND$11,MATCH(A24,'[1]01-数据'!$C$1:$ND$1))," ")</f>
        <v>0</v>
      </c>
      <c r="H24" s="11">
        <f>IF(A24&lt;&gt;"",INDEX('[1]01-数据'!$C$14:$ND$14,MATCH(A24,'[1]01-数据'!$C$1:$ND$1))," ")</f>
        <v>0</v>
      </c>
    </row>
    <row r="25" spans="1:8">
      <c r="A25" s="10">
        <v>45526</v>
      </c>
      <c r="B25" s="11">
        <f>IF(A25&lt;&gt;"",INDEX('[1]01-数据'!$C$2:$ND$2,MATCH(A25,'[1]01-数据'!$C$1:$ND$1))," ")</f>
        <v>0</v>
      </c>
      <c r="C25" s="11">
        <f>IF(A25&lt;&gt;"",INDEX('[1]01-数据'!$C$3:$ND$3,MATCH(A25,'[1]01-数据'!$C$1:$ND$1))," ")</f>
        <v>0</v>
      </c>
      <c r="D25" s="12">
        <f>IF(A25&lt;&gt;"",INDEX('[1]01-数据'!$C$4:$ND$4,MATCH(A25,'[1]01-数据'!$C$1:$ND$1))," ")</f>
        <v>0</v>
      </c>
      <c r="E25" s="11">
        <f>IF(A25&lt;&gt;"",INDEX('[1]01-数据'!$C$6:$ND$6,MATCH(A25,'[1]01-数据'!$C$1:$ND$1))," ")</f>
        <v>0</v>
      </c>
      <c r="F25" s="15">
        <f>IF(A25&lt;&gt;"",INDEX('[1]01-数据'!$C$7:$ND$7,MATCH(A25,'[1]01-数据'!$C$1:$ND$1))," ")</f>
        <v>0</v>
      </c>
      <c r="G25" s="11">
        <f>IF(A25&lt;&gt;"",INDEX('[1]01-数据'!$C$11:$ND$11,MATCH(A25,'[1]01-数据'!$C$1:$ND$1))," ")</f>
        <v>0</v>
      </c>
      <c r="H25" s="11">
        <f>IF(A25&lt;&gt;"",INDEX('[1]01-数据'!$C$14:$ND$14,MATCH(A25,'[1]01-数据'!$C$1:$ND$1))," ")</f>
        <v>0</v>
      </c>
    </row>
    <row r="26" spans="1:8">
      <c r="A26" s="10">
        <v>45527</v>
      </c>
      <c r="B26" s="11">
        <f>IF(A26&lt;&gt;"",INDEX('[1]01-数据'!$C$2:$ND$2,MATCH(A26,'[1]01-数据'!$C$1:$ND$1))," ")</f>
        <v>0</v>
      </c>
      <c r="C26" s="11">
        <f>IF(A26&lt;&gt;"",INDEX('[1]01-数据'!$C$3:$ND$3,MATCH(A26,'[1]01-数据'!$C$1:$ND$1))," ")</f>
        <v>0</v>
      </c>
      <c r="D26" s="12">
        <f>IF(A26&lt;&gt;"",INDEX('[1]01-数据'!$C$4:$ND$4,MATCH(A26,'[1]01-数据'!$C$1:$ND$1))," ")</f>
        <v>0</v>
      </c>
      <c r="E26" s="11">
        <f>IF(A26&lt;&gt;"",INDEX('[1]01-数据'!$C$6:$ND$6,MATCH(A26,'[1]01-数据'!$C$1:$ND$1))," ")</f>
        <v>0</v>
      </c>
      <c r="F26" s="15">
        <f>IF(A26&lt;&gt;"",INDEX('[1]01-数据'!$C$7:$ND$7,MATCH(A26,'[1]01-数据'!$C$1:$ND$1))," ")</f>
        <v>0</v>
      </c>
      <c r="G26" s="11">
        <f>IF(A26&lt;&gt;"",INDEX('[1]01-数据'!$C$11:$ND$11,MATCH(A26,'[1]01-数据'!$C$1:$ND$1))," ")</f>
        <v>0</v>
      </c>
      <c r="H26" s="11">
        <f>IF(A26&lt;&gt;"",INDEX('[1]01-数据'!$C$14:$ND$14,MATCH(A26,'[1]01-数据'!$C$1:$ND$1))," ")</f>
        <v>0</v>
      </c>
    </row>
    <row r="27" spans="1:8">
      <c r="A27" s="7">
        <v>45528</v>
      </c>
      <c r="B27" s="8">
        <f>IF(A27&lt;&gt;"",INDEX('[1]01-数据'!$C$2:$ND$2,MATCH(A27,'[1]01-数据'!$C$1:$ND$1))," ")</f>
        <v>0</v>
      </c>
      <c r="C27" s="8">
        <f>IF(A27&lt;&gt;"",INDEX('[1]01-数据'!$C$3:$ND$3,MATCH(A27,'[1]01-数据'!$C$1:$ND$1))," ")</f>
        <v>0</v>
      </c>
      <c r="D27" s="9">
        <f>IF(A27&lt;&gt;"",INDEX('[1]01-数据'!$C$4:$ND$4,MATCH(A27,'[1]01-数据'!$C$1:$ND$1))," ")</f>
        <v>0</v>
      </c>
      <c r="E27" s="8">
        <f>IF(A27&lt;&gt;"",INDEX('[1]01-数据'!$C$6:$ND$6,MATCH(A27,'[1]01-数据'!$C$1:$ND$1))," ")</f>
        <v>0</v>
      </c>
      <c r="F27" s="14">
        <f>IF(A27&lt;&gt;"",INDEX('[1]01-数据'!$C$7:$ND$7,MATCH(A27,'[1]01-数据'!$C$1:$ND$1))," ")</f>
        <v>0</v>
      </c>
      <c r="G27" s="8">
        <f>IF(A27&lt;&gt;"",INDEX('[1]01-数据'!$C$11:$ND$11,MATCH(A27,'[1]01-数据'!$C$1:$ND$1))," ")</f>
        <v>0</v>
      </c>
      <c r="H27" s="8">
        <f>IF(A27&lt;&gt;"",INDEX('[1]01-数据'!$C$14:$ND$14,MATCH(A27,'[1]01-数据'!$C$1:$ND$1))," ")</f>
        <v>0</v>
      </c>
    </row>
    <row r="28" spans="1:8">
      <c r="A28" s="7">
        <v>45529</v>
      </c>
      <c r="B28" s="8">
        <f>IF(A28&lt;&gt;"",INDEX('[1]01-数据'!$C$2:$ND$2,MATCH(A28,'[1]01-数据'!$C$1:$ND$1))," ")</f>
        <v>0</v>
      </c>
      <c r="C28" s="8">
        <f>IF(A28&lt;&gt;"",INDEX('[1]01-数据'!$C$3:$ND$3,MATCH(A28,'[1]01-数据'!$C$1:$ND$1))," ")</f>
        <v>0</v>
      </c>
      <c r="D28" s="9">
        <f>IF(A28&lt;&gt;"",INDEX('[1]01-数据'!$C$4:$ND$4,MATCH(A28,'[1]01-数据'!$C$1:$ND$1))," ")</f>
        <v>0</v>
      </c>
      <c r="E28" s="8">
        <f>IF(A28&lt;&gt;"",INDEX('[1]01-数据'!$C$6:$ND$6,MATCH(A28,'[1]01-数据'!$C$1:$ND$1))," ")</f>
        <v>0</v>
      </c>
      <c r="F28" s="14">
        <f>IF(A28&lt;&gt;"",INDEX('[1]01-数据'!$C$7:$ND$7,MATCH(A28,'[1]01-数据'!$C$1:$ND$1))," ")</f>
        <v>0</v>
      </c>
      <c r="G28" s="8">
        <f>IF(A28&lt;&gt;"",INDEX('[1]01-数据'!$C$11:$ND$11,MATCH(A28,'[1]01-数据'!$C$1:$ND$1))," ")</f>
        <v>0</v>
      </c>
      <c r="H28" s="8">
        <f>IF(A28&lt;&gt;"",INDEX('[1]01-数据'!$C$14:$ND$14,MATCH(A28,'[1]01-数据'!$C$1:$ND$1))," ")</f>
        <v>0</v>
      </c>
    </row>
    <row r="29" spans="1:8">
      <c r="A29" s="10">
        <v>45530</v>
      </c>
      <c r="B29" s="11">
        <f>IF(A29&lt;&gt;"",INDEX('[1]01-数据'!$C$2:$ND$2,MATCH(A29,'[1]01-数据'!$C$1:$ND$1))," ")</f>
        <v>0</v>
      </c>
      <c r="C29" s="11">
        <f>IF(A29&lt;&gt;"",INDEX('[1]01-数据'!$C$3:$ND$3,MATCH(A29,'[1]01-数据'!$C$1:$ND$1))," ")</f>
        <v>0</v>
      </c>
      <c r="D29" s="12">
        <f>IF(A29&lt;&gt;"",INDEX('[1]01-数据'!$C$4:$ND$4,MATCH(A29,'[1]01-数据'!$C$1:$ND$1))," ")</f>
        <v>0</v>
      </c>
      <c r="E29" s="11">
        <f>IF(A29&lt;&gt;"",INDEX('[1]01-数据'!$C$6:$ND$6,MATCH(A29,'[1]01-数据'!$C$1:$ND$1))," ")</f>
        <v>0</v>
      </c>
      <c r="F29" s="15">
        <f>IF(A29&lt;&gt;"",INDEX('[1]01-数据'!$C$7:$ND$7,MATCH(A29,'[1]01-数据'!$C$1:$ND$1))," ")</f>
        <v>0</v>
      </c>
      <c r="G29" s="11">
        <f>IF(A29&lt;&gt;"",INDEX('[1]01-数据'!$C$11:$ND$11,MATCH(A29,'[1]01-数据'!$C$1:$ND$1))," ")</f>
        <v>0</v>
      </c>
      <c r="H29" s="11">
        <f>IF(A29&lt;&gt;"",INDEX('[1]01-数据'!$C$14:$ND$14,MATCH(A29,'[1]01-数据'!$C$1:$ND$1))," ")</f>
        <v>0</v>
      </c>
    </row>
    <row r="30" spans="1:8">
      <c r="A30" s="10">
        <v>45531</v>
      </c>
      <c r="B30" s="11">
        <f>IF(A30&lt;&gt;"",INDEX('[1]01-数据'!$C$2:$ND$2,MATCH(A30,'[1]01-数据'!$C$1:$ND$1))," ")</f>
        <v>0</v>
      </c>
      <c r="C30" s="11">
        <f>IF(A30&lt;&gt;"",INDEX('[1]01-数据'!$C$3:$ND$3,MATCH(A30,'[1]01-数据'!$C$1:$ND$1))," ")</f>
        <v>0</v>
      </c>
      <c r="D30" s="12">
        <f>IF(A30&lt;&gt;"",INDEX('[1]01-数据'!$C$4:$ND$4,MATCH(A30,'[1]01-数据'!$C$1:$ND$1))," ")</f>
        <v>0</v>
      </c>
      <c r="E30" s="11">
        <f>IF(A30&lt;&gt;"",INDEX('[1]01-数据'!$C$6:$ND$6,MATCH(A30,'[1]01-数据'!$C$1:$ND$1))," ")</f>
        <v>0</v>
      </c>
      <c r="F30" s="15">
        <f>IF(A30&lt;&gt;"",INDEX('[1]01-数据'!$C$7:$ND$7,MATCH(A30,'[1]01-数据'!$C$1:$ND$1))," ")</f>
        <v>0</v>
      </c>
      <c r="G30" s="11">
        <f>IF(A30&lt;&gt;"",INDEX('[1]01-数据'!$C$11:$ND$11,MATCH(A30,'[1]01-数据'!$C$1:$ND$1))," ")</f>
        <v>0</v>
      </c>
      <c r="H30" s="11">
        <f>IF(A30&lt;&gt;"",INDEX('[1]01-数据'!$C$14:$ND$14,MATCH(A30,'[1]01-数据'!$C$1:$ND$1))," ")</f>
        <v>0</v>
      </c>
    </row>
    <row r="31" spans="1:8">
      <c r="A31" s="10">
        <v>45532</v>
      </c>
      <c r="B31" s="11">
        <f>IF(A31&lt;&gt;"",INDEX('[1]01-数据'!$C$2:$ND$2,MATCH(A31,'[1]01-数据'!$C$1:$ND$1))," ")</f>
        <v>0</v>
      </c>
      <c r="C31" s="11">
        <f>IF(A31&lt;&gt;"",INDEX('[1]01-数据'!$C$3:$ND$3,MATCH(A31,'[1]01-数据'!$C$1:$ND$1))," ")</f>
        <v>0</v>
      </c>
      <c r="D31" s="12">
        <f>IF(A31&lt;&gt;"",INDEX('[1]01-数据'!$C$4:$ND$4,MATCH(A31,'[1]01-数据'!$C$1:$ND$1))," ")</f>
        <v>0</v>
      </c>
      <c r="E31" s="11">
        <f>IF(A31&lt;&gt;"",INDEX('[1]01-数据'!$C$6:$ND$6,MATCH(A31,'[1]01-数据'!$C$1:$ND$1))," ")</f>
        <v>0</v>
      </c>
      <c r="F31" s="15">
        <f>IF(A31&lt;&gt;"",INDEX('[1]01-数据'!$C$7:$ND$7,MATCH(A31,'[1]01-数据'!$C$1:$ND$1))," ")</f>
        <v>0</v>
      </c>
      <c r="G31" s="11">
        <f>IF(A31&lt;&gt;"",INDEX('[1]01-数据'!$C$11:$ND$11,MATCH(A31,'[1]01-数据'!$C$1:$ND$1))," ")</f>
        <v>0</v>
      </c>
      <c r="H31" s="11">
        <f>IF(A31&lt;&gt;"",INDEX('[1]01-数据'!$C$14:$ND$14,MATCH(A31,'[1]01-数据'!$C$1:$ND$1))," ")</f>
        <v>0</v>
      </c>
    </row>
    <row r="32" spans="1:8">
      <c r="A32" s="10">
        <v>45533</v>
      </c>
      <c r="B32" s="11">
        <f>IF(A32&lt;&gt;"",INDEX('[1]01-数据'!$C$2:$ND$2,MATCH(A32,'[1]01-数据'!$C$1:$ND$1))," ")</f>
        <v>0</v>
      </c>
      <c r="C32" s="11">
        <f>IF(A32&lt;&gt;"",INDEX('[1]01-数据'!$C$3:$ND$3,MATCH(A32,'[1]01-数据'!$C$1:$ND$1))," ")</f>
        <v>0</v>
      </c>
      <c r="D32" s="12">
        <f>IF(A32&lt;&gt;"",INDEX('[1]01-数据'!$C$4:$ND$4,MATCH(A32,'[1]01-数据'!$C$1:$ND$1))," ")</f>
        <v>0</v>
      </c>
      <c r="E32" s="11">
        <f>IF(A32&lt;&gt;"",INDEX('[1]01-数据'!$C$6:$ND$6,MATCH(A32,'[1]01-数据'!$C$1:$ND$1))," ")</f>
        <v>0</v>
      </c>
      <c r="F32" s="15">
        <f>IF(A32&lt;&gt;"",INDEX('[1]01-数据'!$C$7:$ND$7,MATCH(A32,'[1]01-数据'!$C$1:$ND$1))," ")</f>
        <v>0</v>
      </c>
      <c r="G32" s="11">
        <f>IF(A32&lt;&gt;"",INDEX('[1]01-数据'!$C$11:$ND$11,MATCH(A32,'[1]01-数据'!$C$1:$ND$1))," ")</f>
        <v>0</v>
      </c>
      <c r="H32" s="11">
        <f>IF(A32&lt;&gt;"",INDEX('[1]01-数据'!$C$14:$ND$14,MATCH(A32,'[1]01-数据'!$C$1:$ND$1))," ")</f>
        <v>0</v>
      </c>
    </row>
    <row r="33" spans="1:8">
      <c r="A33" s="10">
        <v>45534</v>
      </c>
      <c r="B33" s="11">
        <f>IF(A33&lt;&gt;"",INDEX('[1]01-数据'!$C$2:$ND$2,MATCH(A33,'[1]01-数据'!$C$1:$ND$1))," ")</f>
        <v>0</v>
      </c>
      <c r="C33" s="11">
        <f>IF(A33&lt;&gt;"",INDEX('[1]01-数据'!$C$3:$ND$3,MATCH(A33,'[1]01-数据'!$C$1:$ND$1))," ")</f>
        <v>0</v>
      </c>
      <c r="D33" s="12">
        <f>IF(A33&lt;&gt;"",INDEX('[1]01-数据'!$C$4:$ND$4,MATCH(A33,'[1]01-数据'!$C$1:$ND$1))," ")</f>
        <v>0</v>
      </c>
      <c r="E33" s="11">
        <f>IF(A33&lt;&gt;"",INDEX('[1]01-数据'!$C$6:$ND$6,MATCH(A33,'[1]01-数据'!$C$1:$ND$1))," ")</f>
        <v>0</v>
      </c>
      <c r="F33" s="15">
        <f>IF(A33&lt;&gt;"",INDEX('[1]01-数据'!$C$7:$ND$7,MATCH(A33,'[1]01-数据'!$C$1:$ND$1))," ")</f>
        <v>0</v>
      </c>
      <c r="G33" s="11">
        <f>IF(A33&lt;&gt;"",INDEX('[1]01-数据'!$C$11:$ND$11,MATCH(A33,'[1]01-数据'!$C$1:$ND$1))," ")</f>
        <v>0</v>
      </c>
      <c r="H33" s="11">
        <f>IF(A33&lt;&gt;"",INDEX('[1]01-数据'!$C$14:$ND$14,MATCH(A33,'[1]01-数据'!$C$1:$ND$1))," ")</f>
        <v>0</v>
      </c>
    </row>
    <row r="34" spans="1:8">
      <c r="A34" s="7">
        <v>45535</v>
      </c>
      <c r="B34" s="8">
        <f>IF(A34&lt;&gt;"",INDEX('[1]01-数据'!$C$2:$ND$2,MATCH(A34,'[1]01-数据'!$C$1:$ND$1))," ")</f>
        <v>0</v>
      </c>
      <c r="C34" s="8">
        <f>IF(A34&lt;&gt;"",INDEX('[1]01-数据'!$C$3:$ND$3,MATCH(A34,'[1]01-数据'!$C$1:$ND$1))," ")</f>
        <v>0</v>
      </c>
      <c r="D34" s="9">
        <f>IF(A34&lt;&gt;"",INDEX('[1]01-数据'!$C$4:$ND$4,MATCH(A34,'[1]01-数据'!$C$1:$ND$1))," ")</f>
        <v>0</v>
      </c>
      <c r="E34" s="8">
        <f>IF(A34&lt;&gt;"",INDEX('[1]01-数据'!$C$6:$ND$6,MATCH(A34,'[1]01-数据'!$C$1:$ND$1))," ")</f>
        <v>0</v>
      </c>
      <c r="F34" s="14">
        <f>IF(A34&lt;&gt;"",INDEX('[1]01-数据'!$C$7:$ND$7,MATCH(A34,'[1]01-数据'!$C$1:$ND$1))," ")</f>
        <v>0</v>
      </c>
      <c r="G34" s="8">
        <f>IF(A34&lt;&gt;"",INDEX('[1]01-数据'!$C$11:$ND$11,MATCH(A34,'[1]01-数据'!$C$1:$ND$1))," ")</f>
        <v>0</v>
      </c>
      <c r="H34" s="8">
        <f>IF(A34&lt;&gt;"",INDEX('[1]01-数据'!$C$14:$ND$14,MATCH(A34,'[1]01-数据'!$C$1:$ND$1))," ")</f>
        <v>0</v>
      </c>
    </row>
    <row r="35" spans="1:8">
      <c r="A35" s="13" t="s">
        <v>9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conditionalFormatting sqref="C4:C34">
    <cfRule type="top10" dxfId="0" priority="2" rank="1"/>
  </conditionalFormatting>
  <conditionalFormatting sqref="E4:E34">
    <cfRule type="top10" dxfId="0" priority="1" rank="1"/>
  </conditionalFormatting>
  <pageMargins left="0.75" right="0.75" top="1" bottom="1" header="0.511805555555556" footer="0.511805555555556"/>
  <pageSetup paperSize="9" scale="9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6"/>
  <sheetViews>
    <sheetView zoomScale="145" zoomScaleNormal="145" workbookViewId="0">
      <pane xSplit="1" ySplit="3" topLeftCell="B22" activePane="bottomRight" state="frozen"/>
      <selection/>
      <selection pane="topRight"/>
      <selection pane="bottomLeft"/>
      <selection pane="bottomRight" activeCell="A36" sqref="A36"/>
    </sheetView>
  </sheetViews>
  <sheetFormatPr defaultColWidth="9" defaultRowHeight="14.25"/>
  <cols>
    <col min="1" max="1" width="10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19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7">
        <v>45536</v>
      </c>
      <c r="B4" s="8">
        <f>IF(A4&lt;&gt;"",INDEX('[1]01-数据'!$C$2:$ND$2,MATCH(A4,'[1]01-数据'!$C$1:$ND$1))," ")</f>
        <v>0</v>
      </c>
      <c r="C4" s="8">
        <f>IF(A4&lt;&gt;"",INDEX('[1]01-数据'!$C$3:$ND$3,MATCH(A4,'[1]01-数据'!$C$1:$ND$1))," ")</f>
        <v>0</v>
      </c>
      <c r="D4" s="9">
        <f>IF(A4&lt;&gt;"",INDEX('[1]01-数据'!$C$4:$ND$4,MATCH(A4,'[1]01-数据'!$C$1:$ND$1))," ")</f>
        <v>0</v>
      </c>
      <c r="E4" s="8">
        <f>IF(A4&lt;&gt;"",INDEX('[1]01-数据'!$C$6:$ND$6,MATCH(A4,'[1]01-数据'!$C$1:$ND$1))," ")</f>
        <v>0</v>
      </c>
      <c r="F4" s="14">
        <f>IF(A4&lt;&gt;"",INDEX('[1]01-数据'!$C$7:$ND$7,MATCH(A4,'[1]01-数据'!$C$1:$ND$1))," ")</f>
        <v>0</v>
      </c>
      <c r="G4" s="8">
        <f>IF(A4&lt;&gt;"",INDEX('[1]01-数据'!$C$11:$ND$11,MATCH(A4,'[1]01-数据'!$C$1:$ND$1))," ")</f>
        <v>0</v>
      </c>
      <c r="H4" s="8">
        <f>IF(A4&lt;&gt;"",INDEX('[1]01-数据'!$C$14:$ND$14,MATCH(A4,'[1]01-数据'!$C$1:$ND$1))," ")</f>
        <v>0</v>
      </c>
    </row>
    <row r="5" spans="1:8">
      <c r="A5" s="10">
        <v>45537</v>
      </c>
      <c r="B5" s="11">
        <f>IF(A5&lt;&gt;"",INDEX('[1]01-数据'!$C$2:$ND$2,MATCH(A5,'[1]01-数据'!$C$1:$ND$1))," ")</f>
        <v>0</v>
      </c>
      <c r="C5" s="11">
        <f>IF(A5&lt;&gt;"",INDEX('[1]01-数据'!$C$3:$ND$3,MATCH(A5,'[1]01-数据'!$C$1:$ND$1))," ")</f>
        <v>0</v>
      </c>
      <c r="D5" s="12">
        <f>IF(A5&lt;&gt;"",INDEX('[1]01-数据'!$C$4:$ND$4,MATCH(A5,'[1]01-数据'!$C$1:$ND$1))," ")</f>
        <v>0</v>
      </c>
      <c r="E5" s="11">
        <f>IF(A5&lt;&gt;"",INDEX('[1]01-数据'!$C$6:$ND$6,MATCH(A5,'[1]01-数据'!$C$1:$ND$1))," ")</f>
        <v>0</v>
      </c>
      <c r="F5" s="15">
        <f>IF(A5&lt;&gt;"",INDEX('[1]01-数据'!$C$7:$ND$7,MATCH(A5,'[1]01-数据'!$C$1:$ND$1))," ")</f>
        <v>0</v>
      </c>
      <c r="G5" s="11">
        <f>IF(A5&lt;&gt;"",INDEX('[1]01-数据'!$C$11:$ND$11,MATCH(A5,'[1]01-数据'!$C$1:$ND$1))," ")</f>
        <v>0</v>
      </c>
      <c r="H5" s="11">
        <f>IF(A5&lt;&gt;"",INDEX('[1]01-数据'!$C$14:$ND$14,MATCH(A5,'[1]01-数据'!$C$1:$ND$1))," ")</f>
        <v>0</v>
      </c>
    </row>
    <row r="6" spans="1:8">
      <c r="A6" s="10">
        <v>45538</v>
      </c>
      <c r="B6" s="11">
        <f>IF(A6&lt;&gt;"",INDEX('[1]01-数据'!$C$2:$ND$2,MATCH(A6,'[1]01-数据'!$C$1:$ND$1))," ")</f>
        <v>0</v>
      </c>
      <c r="C6" s="11">
        <f>IF(A6&lt;&gt;"",INDEX('[1]01-数据'!$C$3:$ND$3,MATCH(A6,'[1]01-数据'!$C$1:$ND$1))," ")</f>
        <v>0</v>
      </c>
      <c r="D6" s="12">
        <f>IF(A6&lt;&gt;"",INDEX('[1]01-数据'!$C$4:$ND$4,MATCH(A6,'[1]01-数据'!$C$1:$ND$1))," ")</f>
        <v>0</v>
      </c>
      <c r="E6" s="11">
        <f>IF(A6&lt;&gt;"",INDEX('[1]01-数据'!$C$6:$ND$6,MATCH(A6,'[1]01-数据'!$C$1:$ND$1))," ")</f>
        <v>0</v>
      </c>
      <c r="F6" s="15">
        <f>IF(A6&lt;&gt;"",INDEX('[1]01-数据'!$C$7:$ND$7,MATCH(A6,'[1]01-数据'!$C$1:$ND$1))," ")</f>
        <v>0</v>
      </c>
      <c r="G6" s="11">
        <f>IF(A6&lt;&gt;"",INDEX('[1]01-数据'!$C$11:$ND$11,MATCH(A6,'[1]01-数据'!$C$1:$ND$1))," ")</f>
        <v>0</v>
      </c>
      <c r="H6" s="11">
        <f>IF(A6&lt;&gt;"",INDEX('[1]01-数据'!$C$14:$ND$14,MATCH(A6,'[1]01-数据'!$C$1:$ND$1))," ")</f>
        <v>0</v>
      </c>
    </row>
    <row r="7" spans="1:8">
      <c r="A7" s="10">
        <v>45539</v>
      </c>
      <c r="B7" s="11">
        <f>IF(A7&lt;&gt;"",INDEX('[1]01-数据'!$C$2:$ND$2,MATCH(A7,'[1]01-数据'!$C$1:$ND$1))," ")</f>
        <v>0</v>
      </c>
      <c r="C7" s="11">
        <f>IF(A7&lt;&gt;"",INDEX('[1]01-数据'!$C$3:$ND$3,MATCH(A7,'[1]01-数据'!$C$1:$ND$1))," ")</f>
        <v>0</v>
      </c>
      <c r="D7" s="12">
        <f>IF(A7&lt;&gt;"",INDEX('[1]01-数据'!$C$4:$ND$4,MATCH(A7,'[1]01-数据'!$C$1:$ND$1))," ")</f>
        <v>0</v>
      </c>
      <c r="E7" s="11">
        <f>IF(A7&lt;&gt;"",INDEX('[1]01-数据'!$C$6:$ND$6,MATCH(A7,'[1]01-数据'!$C$1:$ND$1))," ")</f>
        <v>0</v>
      </c>
      <c r="F7" s="15">
        <f>IF(A7&lt;&gt;"",INDEX('[1]01-数据'!$C$7:$ND$7,MATCH(A7,'[1]01-数据'!$C$1:$ND$1))," ")</f>
        <v>0</v>
      </c>
      <c r="G7" s="11">
        <f>IF(A7&lt;&gt;"",INDEX('[1]01-数据'!$C$11:$ND$11,MATCH(A7,'[1]01-数据'!$C$1:$ND$1))," ")</f>
        <v>0</v>
      </c>
      <c r="H7" s="11">
        <f>IF(A7&lt;&gt;"",INDEX('[1]01-数据'!$C$14:$ND$14,MATCH(A7,'[1]01-数据'!$C$1:$ND$1))," ")</f>
        <v>0</v>
      </c>
    </row>
    <row r="8" spans="1:8">
      <c r="A8" s="10">
        <v>45540</v>
      </c>
      <c r="B8" s="11">
        <f>IF(A8&lt;&gt;"",INDEX('[1]01-数据'!$C$2:$ND$2,MATCH(A8,'[1]01-数据'!$C$1:$ND$1))," ")</f>
        <v>0</v>
      </c>
      <c r="C8" s="11">
        <f>IF(A8&lt;&gt;"",INDEX('[1]01-数据'!$C$3:$ND$3,MATCH(A8,'[1]01-数据'!$C$1:$ND$1))," ")</f>
        <v>0</v>
      </c>
      <c r="D8" s="12">
        <f>IF(A8&lt;&gt;"",INDEX('[1]01-数据'!$C$4:$ND$4,MATCH(A8,'[1]01-数据'!$C$1:$ND$1))," ")</f>
        <v>0</v>
      </c>
      <c r="E8" s="11">
        <f>IF(A8&lt;&gt;"",INDEX('[1]01-数据'!$C$6:$ND$6,MATCH(A8,'[1]01-数据'!$C$1:$ND$1))," ")</f>
        <v>0</v>
      </c>
      <c r="F8" s="15">
        <f>IF(A8&lt;&gt;"",INDEX('[1]01-数据'!$C$7:$ND$7,MATCH(A8,'[1]01-数据'!$C$1:$ND$1))," ")</f>
        <v>0</v>
      </c>
      <c r="G8" s="11">
        <f>IF(A8&lt;&gt;"",INDEX('[1]01-数据'!$C$11:$ND$11,MATCH(A8,'[1]01-数据'!$C$1:$ND$1))," ")</f>
        <v>0</v>
      </c>
      <c r="H8" s="11">
        <f>IF(A8&lt;&gt;"",INDEX('[1]01-数据'!$C$14:$ND$14,MATCH(A8,'[1]01-数据'!$C$1:$ND$1))," ")</f>
        <v>0</v>
      </c>
    </row>
    <row r="9" spans="1:8">
      <c r="A9" s="10">
        <v>45541</v>
      </c>
      <c r="B9" s="11">
        <f>IF(A9&lt;&gt;"",INDEX('[1]01-数据'!$C$2:$ND$2,MATCH(A9,'[1]01-数据'!$C$1:$ND$1))," ")</f>
        <v>0</v>
      </c>
      <c r="C9" s="11">
        <f>IF(A9&lt;&gt;"",INDEX('[1]01-数据'!$C$3:$ND$3,MATCH(A9,'[1]01-数据'!$C$1:$ND$1))," ")</f>
        <v>0</v>
      </c>
      <c r="D9" s="12">
        <f>IF(A9&lt;&gt;"",INDEX('[1]01-数据'!$C$4:$ND$4,MATCH(A9,'[1]01-数据'!$C$1:$ND$1))," ")</f>
        <v>0</v>
      </c>
      <c r="E9" s="11">
        <f>IF(A9&lt;&gt;"",INDEX('[1]01-数据'!$C$6:$ND$6,MATCH(A9,'[1]01-数据'!$C$1:$ND$1))," ")</f>
        <v>0</v>
      </c>
      <c r="F9" s="15">
        <f>IF(A9&lt;&gt;"",INDEX('[1]01-数据'!$C$7:$ND$7,MATCH(A9,'[1]01-数据'!$C$1:$ND$1))," ")</f>
        <v>0</v>
      </c>
      <c r="G9" s="11">
        <f>IF(A9&lt;&gt;"",INDEX('[1]01-数据'!$C$11:$ND$11,MATCH(A9,'[1]01-数据'!$C$1:$ND$1))," ")</f>
        <v>0</v>
      </c>
      <c r="H9" s="11">
        <f>IF(A9&lt;&gt;"",INDEX('[1]01-数据'!$C$14:$ND$14,MATCH(A9,'[1]01-数据'!$C$1:$ND$1))," ")</f>
        <v>0</v>
      </c>
    </row>
    <row r="10" spans="1:8">
      <c r="A10" s="7">
        <v>45542</v>
      </c>
      <c r="B10" s="8">
        <f>IF(A10&lt;&gt;"",INDEX('[1]01-数据'!$C$2:$ND$2,MATCH(A10,'[1]01-数据'!$C$1:$ND$1))," ")</f>
        <v>0</v>
      </c>
      <c r="C10" s="8">
        <f>IF(A10&lt;&gt;"",INDEX('[1]01-数据'!$C$3:$ND$3,MATCH(A10,'[1]01-数据'!$C$1:$ND$1))," ")</f>
        <v>0</v>
      </c>
      <c r="D10" s="9">
        <f>IF(A10&lt;&gt;"",INDEX('[1]01-数据'!$C$4:$ND$4,MATCH(A10,'[1]01-数据'!$C$1:$ND$1))," ")</f>
        <v>0</v>
      </c>
      <c r="E10" s="8">
        <f>IF(A10&lt;&gt;"",INDEX('[1]01-数据'!$C$6:$ND$6,MATCH(A10,'[1]01-数据'!$C$1:$ND$1))," ")</f>
        <v>0</v>
      </c>
      <c r="F10" s="14">
        <f>IF(A10&lt;&gt;"",INDEX('[1]01-数据'!$C$7:$ND$7,MATCH(A10,'[1]01-数据'!$C$1:$ND$1))," ")</f>
        <v>0</v>
      </c>
      <c r="G10" s="8">
        <f>IF(A10&lt;&gt;"",INDEX('[1]01-数据'!$C$11:$ND$11,MATCH(A10,'[1]01-数据'!$C$1:$ND$1))," ")</f>
        <v>0</v>
      </c>
      <c r="H10" s="8">
        <f>IF(A10&lt;&gt;"",INDEX('[1]01-数据'!$C$14:$ND$14,MATCH(A10,'[1]01-数据'!$C$1:$ND$1))," ")</f>
        <v>0</v>
      </c>
    </row>
    <row r="11" spans="1:8">
      <c r="A11" s="7">
        <v>45543</v>
      </c>
      <c r="B11" s="8">
        <f>IF(A11&lt;&gt;"",INDEX('[1]01-数据'!$C$2:$ND$2,MATCH(A11,'[1]01-数据'!$C$1:$ND$1))," ")</f>
        <v>0</v>
      </c>
      <c r="C11" s="8">
        <f>IF(A11&lt;&gt;"",INDEX('[1]01-数据'!$C$3:$ND$3,MATCH(A11,'[1]01-数据'!$C$1:$ND$1))," ")</f>
        <v>0</v>
      </c>
      <c r="D11" s="9">
        <f>IF(A11&lt;&gt;"",INDEX('[1]01-数据'!$C$4:$ND$4,MATCH(A11,'[1]01-数据'!$C$1:$ND$1))," ")</f>
        <v>0</v>
      </c>
      <c r="E11" s="8">
        <f>IF(A11&lt;&gt;"",INDEX('[1]01-数据'!$C$6:$ND$6,MATCH(A11,'[1]01-数据'!$C$1:$ND$1))," ")</f>
        <v>0</v>
      </c>
      <c r="F11" s="14">
        <f>IF(A11&lt;&gt;"",INDEX('[1]01-数据'!$C$7:$ND$7,MATCH(A11,'[1]01-数据'!$C$1:$ND$1))," ")</f>
        <v>0</v>
      </c>
      <c r="G11" s="8">
        <f>IF(A11&lt;&gt;"",INDEX('[1]01-数据'!$C$11:$ND$11,MATCH(A11,'[1]01-数据'!$C$1:$ND$1))," ")</f>
        <v>0</v>
      </c>
      <c r="H11" s="8">
        <f>IF(A11&lt;&gt;"",INDEX('[1]01-数据'!$C$14:$ND$14,MATCH(A11,'[1]01-数据'!$C$1:$ND$1))," ")</f>
        <v>0</v>
      </c>
    </row>
    <row r="12" spans="1:8">
      <c r="A12" s="10">
        <v>45544</v>
      </c>
      <c r="B12" s="11">
        <f>IF(A12&lt;&gt;"",INDEX('[1]01-数据'!$C$2:$ND$2,MATCH(A12,'[1]01-数据'!$C$1:$ND$1))," ")</f>
        <v>0</v>
      </c>
      <c r="C12" s="11">
        <f>IF(A12&lt;&gt;"",INDEX('[1]01-数据'!$C$3:$ND$3,MATCH(A12,'[1]01-数据'!$C$1:$ND$1))," ")</f>
        <v>0</v>
      </c>
      <c r="D12" s="12">
        <f>IF(A12&lt;&gt;"",INDEX('[1]01-数据'!$C$4:$ND$4,MATCH(A12,'[1]01-数据'!$C$1:$ND$1))," ")</f>
        <v>0</v>
      </c>
      <c r="E12" s="11">
        <f>IF(A12&lt;&gt;"",INDEX('[1]01-数据'!$C$6:$ND$6,MATCH(A12,'[1]01-数据'!$C$1:$ND$1))," ")</f>
        <v>0</v>
      </c>
      <c r="F12" s="15">
        <f>IF(A12&lt;&gt;"",INDEX('[1]01-数据'!$C$7:$ND$7,MATCH(A12,'[1]01-数据'!$C$1:$ND$1))," ")</f>
        <v>0</v>
      </c>
      <c r="G12" s="11">
        <f>IF(A12&lt;&gt;"",INDEX('[1]01-数据'!$C$11:$ND$11,MATCH(A12,'[1]01-数据'!$C$1:$ND$1))," ")</f>
        <v>0</v>
      </c>
      <c r="H12" s="11">
        <f>IF(A12&lt;&gt;"",INDEX('[1]01-数据'!$C$14:$ND$14,MATCH(A12,'[1]01-数据'!$C$1:$ND$1))," ")</f>
        <v>0</v>
      </c>
    </row>
    <row r="13" spans="1:11">
      <c r="A13" s="10">
        <v>45545</v>
      </c>
      <c r="B13" s="11">
        <f>IF(A13&lt;&gt;"",INDEX('[1]01-数据'!$C$2:$ND$2,MATCH(A13,'[1]01-数据'!$C$1:$ND$1))," ")</f>
        <v>0</v>
      </c>
      <c r="C13" s="11">
        <f>IF(A13&lt;&gt;"",INDEX('[1]01-数据'!$C$3:$ND$3,MATCH(A13,'[1]01-数据'!$C$1:$ND$1))," ")</f>
        <v>0</v>
      </c>
      <c r="D13" s="12">
        <f>IF(A13&lt;&gt;"",INDEX('[1]01-数据'!$C$4:$ND$4,MATCH(A13,'[1]01-数据'!$C$1:$ND$1))," ")</f>
        <v>0</v>
      </c>
      <c r="E13" s="11">
        <f>IF(A13&lt;&gt;"",INDEX('[1]01-数据'!$C$6:$ND$6,MATCH(A13,'[1]01-数据'!$C$1:$ND$1))," ")</f>
        <v>0</v>
      </c>
      <c r="F13" s="15">
        <f>IF(A13&lt;&gt;"",INDEX('[1]01-数据'!$C$7:$ND$7,MATCH(A13,'[1]01-数据'!$C$1:$ND$1))," ")</f>
        <v>0</v>
      </c>
      <c r="G13" s="11">
        <f>IF(A13&lt;&gt;"",INDEX('[1]01-数据'!$C$11:$ND$11,MATCH(A13,'[1]01-数据'!$C$1:$ND$1))," ")</f>
        <v>0</v>
      </c>
      <c r="H13" s="11">
        <f>IF(A13&lt;&gt;"",INDEX('[1]01-数据'!$C$14:$ND$14,MATCH(A13,'[1]01-数据'!$C$1:$ND$1))," ")</f>
        <v>0</v>
      </c>
      <c r="K13" s="17"/>
    </row>
    <row r="14" spans="1:11">
      <c r="A14" s="10">
        <v>45546</v>
      </c>
      <c r="B14" s="11">
        <f>IF(A14&lt;&gt;"",INDEX('[1]01-数据'!$C$2:$ND$2,MATCH(A14,'[1]01-数据'!$C$1:$ND$1))," ")</f>
        <v>0</v>
      </c>
      <c r="C14" s="11">
        <f>IF(A14&lt;&gt;"",INDEX('[1]01-数据'!$C$3:$ND$3,MATCH(A14,'[1]01-数据'!$C$1:$ND$1))," ")</f>
        <v>0</v>
      </c>
      <c r="D14" s="12">
        <f>IF(A14&lt;&gt;"",INDEX('[1]01-数据'!$C$4:$ND$4,MATCH(A14,'[1]01-数据'!$C$1:$ND$1))," ")</f>
        <v>0</v>
      </c>
      <c r="E14" s="11">
        <f>IF(A14&lt;&gt;"",INDEX('[1]01-数据'!$C$6:$ND$6,MATCH(A14,'[1]01-数据'!$C$1:$ND$1))," ")</f>
        <v>0</v>
      </c>
      <c r="F14" s="15">
        <f>IF(A14&lt;&gt;"",INDEX('[1]01-数据'!$C$7:$ND$7,MATCH(A14,'[1]01-数据'!$C$1:$ND$1))," ")</f>
        <v>0</v>
      </c>
      <c r="G14" s="11">
        <f>IF(A14&lt;&gt;"",INDEX('[1]01-数据'!$C$11:$ND$11,MATCH(A14,'[1]01-数据'!$C$1:$ND$1))," ")</f>
        <v>0</v>
      </c>
      <c r="H14" s="11">
        <f>IF(A14&lt;&gt;"",INDEX('[1]01-数据'!$C$14:$ND$14,MATCH(A14,'[1]01-数据'!$C$1:$ND$1))," ")</f>
        <v>0</v>
      </c>
      <c r="K14" s="17"/>
    </row>
    <row r="15" spans="1:11">
      <c r="A15" s="10">
        <v>45547</v>
      </c>
      <c r="B15" s="11">
        <f>IF(A15&lt;&gt;"",INDEX('[1]01-数据'!$C$2:$ND$2,MATCH(A15,'[1]01-数据'!$C$1:$ND$1))," ")</f>
        <v>0</v>
      </c>
      <c r="C15" s="11">
        <f>IF(A15&lt;&gt;"",INDEX('[1]01-数据'!$C$3:$ND$3,MATCH(A15,'[1]01-数据'!$C$1:$ND$1))," ")</f>
        <v>0</v>
      </c>
      <c r="D15" s="12">
        <f>IF(A15&lt;&gt;"",INDEX('[1]01-数据'!$C$4:$ND$4,MATCH(A15,'[1]01-数据'!$C$1:$ND$1))," ")</f>
        <v>0</v>
      </c>
      <c r="E15" s="11">
        <f>IF(A15&lt;&gt;"",INDEX('[1]01-数据'!$C$6:$ND$6,MATCH(A15,'[1]01-数据'!$C$1:$ND$1))," ")</f>
        <v>0</v>
      </c>
      <c r="F15" s="15">
        <f>IF(A15&lt;&gt;"",INDEX('[1]01-数据'!$C$7:$ND$7,MATCH(A15,'[1]01-数据'!$C$1:$ND$1))," ")</f>
        <v>0</v>
      </c>
      <c r="G15" s="11">
        <f>IF(A15&lt;&gt;"",INDEX('[1]01-数据'!$C$11:$ND$11,MATCH(A15,'[1]01-数据'!$C$1:$ND$1))," ")</f>
        <v>0</v>
      </c>
      <c r="H15" s="11">
        <f>IF(A15&lt;&gt;"",INDEX('[1]01-数据'!$C$14:$ND$14,MATCH(A15,'[1]01-数据'!$C$1:$ND$1))," ")</f>
        <v>0</v>
      </c>
      <c r="K15" s="17"/>
    </row>
    <row r="16" spans="1:8">
      <c r="A16" s="10">
        <v>45548</v>
      </c>
      <c r="B16" s="11">
        <f>IF(A16&lt;&gt;"",INDEX('[1]01-数据'!$C$2:$ND$2,MATCH(A16,'[1]01-数据'!$C$1:$ND$1))," ")</f>
        <v>0</v>
      </c>
      <c r="C16" s="11">
        <f>IF(A16&lt;&gt;"",INDEX('[1]01-数据'!$C$3:$ND$3,MATCH(A16,'[1]01-数据'!$C$1:$ND$1))," ")</f>
        <v>0</v>
      </c>
      <c r="D16" s="12">
        <f>IF(A16&lt;&gt;"",INDEX('[1]01-数据'!$C$4:$ND$4,MATCH(A16,'[1]01-数据'!$C$1:$ND$1))," ")</f>
        <v>0</v>
      </c>
      <c r="E16" s="11">
        <f>IF(A16&lt;&gt;"",INDEX('[1]01-数据'!$C$6:$ND$6,MATCH(A16,'[1]01-数据'!$C$1:$ND$1))," ")</f>
        <v>0</v>
      </c>
      <c r="F16" s="15">
        <f>IF(A16&lt;&gt;"",INDEX('[1]01-数据'!$C$7:$ND$7,MATCH(A16,'[1]01-数据'!$C$1:$ND$1))," ")</f>
        <v>0</v>
      </c>
      <c r="G16" s="11">
        <f>IF(A16&lt;&gt;"",INDEX('[1]01-数据'!$C$11:$ND$11,MATCH(A16,'[1]01-数据'!$C$1:$ND$1))," ")</f>
        <v>0</v>
      </c>
      <c r="H16" s="11">
        <f>IF(A16&lt;&gt;"",INDEX('[1]01-数据'!$C$14:$ND$14,MATCH(A16,'[1]01-数据'!$C$1:$ND$1))," ")</f>
        <v>0</v>
      </c>
    </row>
    <row r="17" spans="1:8">
      <c r="A17" s="7">
        <v>45549</v>
      </c>
      <c r="B17" s="8">
        <f>IF(A17&lt;&gt;"",INDEX('[1]01-数据'!$C$2:$ND$2,MATCH(A17,'[1]01-数据'!$C$1:$ND$1))," ")</f>
        <v>0</v>
      </c>
      <c r="C17" s="8">
        <f>IF(A17&lt;&gt;"",INDEX('[1]01-数据'!$C$3:$ND$3,MATCH(A17,'[1]01-数据'!$C$1:$ND$1))," ")</f>
        <v>0</v>
      </c>
      <c r="D17" s="9">
        <f>IF(A17&lt;&gt;"",INDEX('[1]01-数据'!$C$4:$ND$4,MATCH(A17,'[1]01-数据'!$C$1:$ND$1))," ")</f>
        <v>0</v>
      </c>
      <c r="E17" s="8">
        <f>IF(A17&lt;&gt;"",INDEX('[1]01-数据'!$C$6:$ND$6,MATCH(A17,'[1]01-数据'!$C$1:$ND$1))," ")</f>
        <v>0</v>
      </c>
      <c r="F17" s="14">
        <f>IF(A17&lt;&gt;"",INDEX('[1]01-数据'!$C$7:$ND$7,MATCH(A17,'[1]01-数据'!$C$1:$ND$1))," ")</f>
        <v>0</v>
      </c>
      <c r="G17" s="8">
        <f>IF(A17&lt;&gt;"",INDEX('[1]01-数据'!$C$11:$ND$11,MATCH(A17,'[1]01-数据'!$C$1:$ND$1))," ")</f>
        <v>0</v>
      </c>
      <c r="H17" s="8">
        <f>IF(A17&lt;&gt;"",INDEX('[1]01-数据'!$C$14:$ND$14,MATCH(A17,'[1]01-数据'!$C$1:$ND$1))," ")</f>
        <v>0</v>
      </c>
    </row>
    <row r="18" spans="1:8">
      <c r="A18" s="7">
        <v>45550</v>
      </c>
      <c r="B18" s="8">
        <f>IF(A18&lt;&gt;"",INDEX('[1]01-数据'!$C$2:$ND$2,MATCH(A18,'[1]01-数据'!$C$1:$ND$1))," ")</f>
        <v>0</v>
      </c>
      <c r="C18" s="8">
        <f>IF(A18&lt;&gt;"",INDEX('[1]01-数据'!$C$3:$ND$3,MATCH(A18,'[1]01-数据'!$C$1:$ND$1))," ")</f>
        <v>0</v>
      </c>
      <c r="D18" s="9">
        <f>IF(A18&lt;&gt;"",INDEX('[1]01-数据'!$C$4:$ND$4,MATCH(A18,'[1]01-数据'!$C$1:$ND$1))," ")</f>
        <v>0</v>
      </c>
      <c r="E18" s="8">
        <f>IF(A18&lt;&gt;"",INDEX('[1]01-数据'!$C$6:$ND$6,MATCH(A18,'[1]01-数据'!$C$1:$ND$1))," ")</f>
        <v>0</v>
      </c>
      <c r="F18" s="14">
        <f>IF(A18&lt;&gt;"",INDEX('[1]01-数据'!$C$7:$ND$7,MATCH(A18,'[1]01-数据'!$C$1:$ND$1))," ")</f>
        <v>0</v>
      </c>
      <c r="G18" s="8">
        <f>IF(A18&lt;&gt;"",INDEX('[1]01-数据'!$C$11:$ND$11,MATCH(A18,'[1]01-数据'!$C$1:$ND$1))," ")</f>
        <v>0</v>
      </c>
      <c r="H18" s="8">
        <f>IF(A18&lt;&gt;"",INDEX('[1]01-数据'!$C$14:$ND$14,MATCH(A18,'[1]01-数据'!$C$1:$ND$1))," ")</f>
        <v>0</v>
      </c>
    </row>
    <row r="19" spans="1:8">
      <c r="A19" s="10">
        <v>45551</v>
      </c>
      <c r="B19" s="11">
        <f>IF(A19&lt;&gt;"",INDEX('[1]01-数据'!$C$2:$ND$2,MATCH(A19,'[1]01-数据'!$C$1:$ND$1))," ")</f>
        <v>0</v>
      </c>
      <c r="C19" s="11">
        <f>IF(A19&lt;&gt;"",INDEX('[1]01-数据'!$C$3:$ND$3,MATCH(A19,'[1]01-数据'!$C$1:$ND$1))," ")</f>
        <v>0</v>
      </c>
      <c r="D19" s="12">
        <f>IF(A19&lt;&gt;"",INDEX('[1]01-数据'!$C$4:$ND$4,MATCH(A19,'[1]01-数据'!$C$1:$ND$1))," ")</f>
        <v>0</v>
      </c>
      <c r="E19" s="11">
        <f>IF(A19&lt;&gt;"",INDEX('[1]01-数据'!$C$6:$ND$6,MATCH(A19,'[1]01-数据'!$C$1:$ND$1))," ")</f>
        <v>0</v>
      </c>
      <c r="F19" s="15">
        <f>IF(A19&lt;&gt;"",INDEX('[1]01-数据'!$C$7:$ND$7,MATCH(A19,'[1]01-数据'!$C$1:$ND$1))," ")</f>
        <v>0</v>
      </c>
      <c r="G19" s="11">
        <f>IF(A19&lt;&gt;"",INDEX('[1]01-数据'!$C$11:$ND$11,MATCH(A19,'[1]01-数据'!$C$1:$ND$1))," ")</f>
        <v>0</v>
      </c>
      <c r="H19" s="11">
        <f>IF(A19&lt;&gt;"",INDEX('[1]01-数据'!$C$14:$ND$14,MATCH(A19,'[1]01-数据'!$C$1:$ND$1))," ")</f>
        <v>0</v>
      </c>
    </row>
    <row r="20" spans="1:8">
      <c r="A20" s="10">
        <v>45552</v>
      </c>
      <c r="B20" s="11">
        <f>IF(A20&lt;&gt;"",INDEX('[1]01-数据'!$C$2:$ND$2,MATCH(A20,'[1]01-数据'!$C$1:$ND$1))," ")</f>
        <v>0</v>
      </c>
      <c r="C20" s="11">
        <f>IF(A20&lt;&gt;"",INDEX('[1]01-数据'!$C$3:$ND$3,MATCH(A20,'[1]01-数据'!$C$1:$ND$1))," ")</f>
        <v>0</v>
      </c>
      <c r="D20" s="12">
        <f>IF(A20&lt;&gt;"",INDEX('[1]01-数据'!$C$4:$ND$4,MATCH(A20,'[1]01-数据'!$C$1:$ND$1))," ")</f>
        <v>0</v>
      </c>
      <c r="E20" s="11">
        <f>IF(A20&lt;&gt;"",INDEX('[1]01-数据'!$C$6:$ND$6,MATCH(A20,'[1]01-数据'!$C$1:$ND$1))," ")</f>
        <v>0</v>
      </c>
      <c r="F20" s="15">
        <f>IF(A20&lt;&gt;"",INDEX('[1]01-数据'!$C$7:$ND$7,MATCH(A20,'[1]01-数据'!$C$1:$ND$1))," ")</f>
        <v>0</v>
      </c>
      <c r="G20" s="11">
        <f>IF(A20&lt;&gt;"",INDEX('[1]01-数据'!$C$11:$ND$11,MATCH(A20,'[1]01-数据'!$C$1:$ND$1))," ")</f>
        <v>0</v>
      </c>
      <c r="H20" s="11">
        <f>IF(A20&lt;&gt;"",INDEX('[1]01-数据'!$C$14:$ND$14,MATCH(A20,'[1]01-数据'!$C$1:$ND$1))," ")</f>
        <v>0</v>
      </c>
    </row>
    <row r="21" spans="1:8">
      <c r="A21" s="10">
        <v>45553</v>
      </c>
      <c r="B21" s="11">
        <f>IF(A21&lt;&gt;"",INDEX('[1]01-数据'!$C$2:$ND$2,MATCH(A21,'[1]01-数据'!$C$1:$ND$1))," ")</f>
        <v>0</v>
      </c>
      <c r="C21" s="11">
        <f>IF(A21&lt;&gt;"",INDEX('[1]01-数据'!$C$3:$ND$3,MATCH(A21,'[1]01-数据'!$C$1:$ND$1))," ")</f>
        <v>0</v>
      </c>
      <c r="D21" s="12">
        <f>IF(A21&lt;&gt;"",INDEX('[1]01-数据'!$C$4:$ND$4,MATCH(A21,'[1]01-数据'!$C$1:$ND$1))," ")</f>
        <v>0</v>
      </c>
      <c r="E21" s="11">
        <f>IF(A21&lt;&gt;"",INDEX('[1]01-数据'!$C$6:$ND$6,MATCH(A21,'[1]01-数据'!$C$1:$ND$1))," ")</f>
        <v>0</v>
      </c>
      <c r="F21" s="15">
        <f>IF(A21&lt;&gt;"",INDEX('[1]01-数据'!$C$7:$ND$7,MATCH(A21,'[1]01-数据'!$C$1:$ND$1))," ")</f>
        <v>0</v>
      </c>
      <c r="G21" s="11">
        <f>IF(A21&lt;&gt;"",INDEX('[1]01-数据'!$C$11:$ND$11,MATCH(A21,'[1]01-数据'!$C$1:$ND$1))," ")</f>
        <v>0</v>
      </c>
      <c r="H21" s="11">
        <f>IF(A21&lt;&gt;"",INDEX('[1]01-数据'!$C$14:$ND$14,MATCH(A21,'[1]01-数据'!$C$1:$ND$1))," ")</f>
        <v>0</v>
      </c>
    </row>
    <row r="22" spans="1:8">
      <c r="A22" s="10">
        <v>45554</v>
      </c>
      <c r="B22" s="11">
        <f>IF(A22&lt;&gt;"",INDEX('[1]01-数据'!$C$2:$ND$2,MATCH(A22,'[1]01-数据'!$C$1:$ND$1))," ")</f>
        <v>0</v>
      </c>
      <c r="C22" s="11">
        <f>IF(A22&lt;&gt;"",INDEX('[1]01-数据'!$C$3:$ND$3,MATCH(A22,'[1]01-数据'!$C$1:$ND$1))," ")</f>
        <v>0</v>
      </c>
      <c r="D22" s="12">
        <f>IF(A22&lt;&gt;"",INDEX('[1]01-数据'!$C$4:$ND$4,MATCH(A22,'[1]01-数据'!$C$1:$ND$1))," ")</f>
        <v>0</v>
      </c>
      <c r="E22" s="11">
        <f>IF(A22&lt;&gt;"",INDEX('[1]01-数据'!$C$6:$ND$6,MATCH(A22,'[1]01-数据'!$C$1:$ND$1))," ")</f>
        <v>0</v>
      </c>
      <c r="F22" s="15">
        <f>IF(A22&lt;&gt;"",INDEX('[1]01-数据'!$C$7:$ND$7,MATCH(A22,'[1]01-数据'!$C$1:$ND$1))," ")</f>
        <v>0</v>
      </c>
      <c r="G22" s="11">
        <f>IF(A22&lt;&gt;"",INDEX('[1]01-数据'!$C$11:$ND$11,MATCH(A22,'[1]01-数据'!$C$1:$ND$1))," ")</f>
        <v>0</v>
      </c>
      <c r="H22" s="11">
        <f>IF(A22&lt;&gt;"",INDEX('[1]01-数据'!$C$14:$ND$14,MATCH(A22,'[1]01-数据'!$C$1:$ND$1))," ")</f>
        <v>0</v>
      </c>
    </row>
    <row r="23" spans="1:8">
      <c r="A23" s="10">
        <v>45555</v>
      </c>
      <c r="B23" s="11">
        <f>IF(A23&lt;&gt;"",INDEX('[1]01-数据'!$C$2:$ND$2,MATCH(A23,'[1]01-数据'!$C$1:$ND$1))," ")</f>
        <v>0</v>
      </c>
      <c r="C23" s="11">
        <f>IF(A23&lt;&gt;"",INDEX('[1]01-数据'!$C$3:$ND$3,MATCH(A23,'[1]01-数据'!$C$1:$ND$1))," ")</f>
        <v>0</v>
      </c>
      <c r="D23" s="12">
        <f>IF(A23&lt;&gt;"",INDEX('[1]01-数据'!$C$4:$ND$4,MATCH(A23,'[1]01-数据'!$C$1:$ND$1))," ")</f>
        <v>0</v>
      </c>
      <c r="E23" s="11">
        <f>IF(A23&lt;&gt;"",INDEX('[1]01-数据'!$C$6:$ND$6,MATCH(A23,'[1]01-数据'!$C$1:$ND$1))," ")</f>
        <v>0</v>
      </c>
      <c r="F23" s="15">
        <f>IF(A23&lt;&gt;"",INDEX('[1]01-数据'!$C$7:$ND$7,MATCH(A23,'[1]01-数据'!$C$1:$ND$1))," ")</f>
        <v>0</v>
      </c>
      <c r="G23" s="11">
        <f>IF(A23&lt;&gt;"",INDEX('[1]01-数据'!$C$11:$ND$11,MATCH(A23,'[1]01-数据'!$C$1:$ND$1))," ")</f>
        <v>0</v>
      </c>
      <c r="H23" s="11">
        <f>IF(A23&lt;&gt;"",INDEX('[1]01-数据'!$C$14:$ND$14,MATCH(A23,'[1]01-数据'!$C$1:$ND$1))," ")</f>
        <v>0</v>
      </c>
    </row>
    <row r="24" spans="1:8">
      <c r="A24" s="7">
        <v>45556</v>
      </c>
      <c r="B24" s="8">
        <f>IF(A24&lt;&gt;"",INDEX('[1]01-数据'!$C$2:$ND$2,MATCH(A24,'[1]01-数据'!$C$1:$ND$1))," ")</f>
        <v>0</v>
      </c>
      <c r="C24" s="8">
        <f>IF(A24&lt;&gt;"",INDEX('[1]01-数据'!$C$3:$ND$3,MATCH(A24,'[1]01-数据'!$C$1:$ND$1))," ")</f>
        <v>0</v>
      </c>
      <c r="D24" s="9">
        <f>IF(A24&lt;&gt;"",INDEX('[1]01-数据'!$C$4:$ND$4,MATCH(A24,'[1]01-数据'!$C$1:$ND$1))," ")</f>
        <v>0</v>
      </c>
      <c r="E24" s="8">
        <f>IF(A24&lt;&gt;"",INDEX('[1]01-数据'!$C$6:$ND$6,MATCH(A24,'[1]01-数据'!$C$1:$ND$1))," ")</f>
        <v>0</v>
      </c>
      <c r="F24" s="14">
        <f>IF(A24&lt;&gt;"",INDEX('[1]01-数据'!$C$7:$ND$7,MATCH(A24,'[1]01-数据'!$C$1:$ND$1))," ")</f>
        <v>0</v>
      </c>
      <c r="G24" s="8">
        <f>IF(A24&lt;&gt;"",INDEX('[1]01-数据'!$C$11:$ND$11,MATCH(A24,'[1]01-数据'!$C$1:$ND$1))," ")</f>
        <v>0</v>
      </c>
      <c r="H24" s="8">
        <f>IF(A24&lt;&gt;"",INDEX('[1]01-数据'!$C$14:$ND$14,MATCH(A24,'[1]01-数据'!$C$1:$ND$1))," ")</f>
        <v>0</v>
      </c>
    </row>
    <row r="25" spans="1:8">
      <c r="A25" s="7">
        <v>45557</v>
      </c>
      <c r="B25" s="8">
        <f>IF(A25&lt;&gt;"",INDEX('[1]01-数据'!$C$2:$ND$2,MATCH(A25,'[1]01-数据'!$C$1:$ND$1))," ")</f>
        <v>0</v>
      </c>
      <c r="C25" s="8">
        <f>IF(A25&lt;&gt;"",INDEX('[1]01-数据'!$C$3:$ND$3,MATCH(A25,'[1]01-数据'!$C$1:$ND$1))," ")</f>
        <v>0</v>
      </c>
      <c r="D25" s="9">
        <f>IF(A25&lt;&gt;"",INDEX('[1]01-数据'!$C$4:$ND$4,MATCH(A25,'[1]01-数据'!$C$1:$ND$1))," ")</f>
        <v>0</v>
      </c>
      <c r="E25" s="8">
        <f>IF(A25&lt;&gt;"",INDEX('[1]01-数据'!$C$6:$ND$6,MATCH(A25,'[1]01-数据'!$C$1:$ND$1))," ")</f>
        <v>0</v>
      </c>
      <c r="F25" s="14">
        <f>IF(A25&lt;&gt;"",INDEX('[1]01-数据'!$C$7:$ND$7,MATCH(A25,'[1]01-数据'!$C$1:$ND$1))," ")</f>
        <v>0</v>
      </c>
      <c r="G25" s="8">
        <f>IF(A25&lt;&gt;"",INDEX('[1]01-数据'!$C$11:$ND$11,MATCH(A25,'[1]01-数据'!$C$1:$ND$1))," ")</f>
        <v>0</v>
      </c>
      <c r="H25" s="8">
        <f>IF(A25&lt;&gt;"",INDEX('[1]01-数据'!$C$14:$ND$14,MATCH(A25,'[1]01-数据'!$C$1:$ND$1))," ")</f>
        <v>0</v>
      </c>
    </row>
    <row r="26" spans="1:8">
      <c r="A26" s="10">
        <v>45558</v>
      </c>
      <c r="B26" s="11">
        <f>IF(A26&lt;&gt;"",INDEX('[1]01-数据'!$C$2:$ND$2,MATCH(A26,'[1]01-数据'!$C$1:$ND$1))," ")</f>
        <v>0</v>
      </c>
      <c r="C26" s="11">
        <f>IF(A26&lt;&gt;"",INDEX('[1]01-数据'!$C$3:$ND$3,MATCH(A26,'[1]01-数据'!$C$1:$ND$1))," ")</f>
        <v>0</v>
      </c>
      <c r="D26" s="12">
        <f>IF(A26&lt;&gt;"",INDEX('[1]01-数据'!$C$4:$ND$4,MATCH(A26,'[1]01-数据'!$C$1:$ND$1))," ")</f>
        <v>0</v>
      </c>
      <c r="E26" s="11">
        <f>IF(A26&lt;&gt;"",INDEX('[1]01-数据'!$C$6:$ND$6,MATCH(A26,'[1]01-数据'!$C$1:$ND$1))," ")</f>
        <v>0</v>
      </c>
      <c r="F26" s="15">
        <f>IF(A26&lt;&gt;"",INDEX('[1]01-数据'!$C$7:$ND$7,MATCH(A26,'[1]01-数据'!$C$1:$ND$1))," ")</f>
        <v>0</v>
      </c>
      <c r="G26" s="11">
        <f>IF(A26&lt;&gt;"",INDEX('[1]01-数据'!$C$11:$ND$11,MATCH(A26,'[1]01-数据'!$C$1:$ND$1))," ")</f>
        <v>0</v>
      </c>
      <c r="H26" s="11">
        <f>IF(A26&lt;&gt;"",INDEX('[1]01-数据'!$C$14:$ND$14,MATCH(A26,'[1]01-数据'!$C$1:$ND$1))," ")</f>
        <v>0</v>
      </c>
    </row>
    <row r="27" spans="1:8">
      <c r="A27" s="10">
        <v>45559</v>
      </c>
      <c r="B27" s="11">
        <f>IF(A27&lt;&gt;"",INDEX('[1]01-数据'!$C$2:$ND$2,MATCH(A27,'[1]01-数据'!$C$1:$ND$1))," ")</f>
        <v>0</v>
      </c>
      <c r="C27" s="11">
        <f>IF(A27&lt;&gt;"",INDEX('[1]01-数据'!$C$3:$ND$3,MATCH(A27,'[1]01-数据'!$C$1:$ND$1))," ")</f>
        <v>0</v>
      </c>
      <c r="D27" s="12">
        <f>IF(A27&lt;&gt;"",INDEX('[1]01-数据'!$C$4:$ND$4,MATCH(A27,'[1]01-数据'!$C$1:$ND$1))," ")</f>
        <v>0</v>
      </c>
      <c r="E27" s="11">
        <f>IF(A27&lt;&gt;"",INDEX('[1]01-数据'!$C$6:$ND$6,MATCH(A27,'[1]01-数据'!$C$1:$ND$1))," ")</f>
        <v>0</v>
      </c>
      <c r="F27" s="15">
        <f>IF(A27&lt;&gt;"",INDEX('[1]01-数据'!$C$7:$ND$7,MATCH(A27,'[1]01-数据'!$C$1:$ND$1))," ")</f>
        <v>0</v>
      </c>
      <c r="G27" s="11">
        <f>IF(A27&lt;&gt;"",INDEX('[1]01-数据'!$C$11:$ND$11,MATCH(A27,'[1]01-数据'!$C$1:$ND$1))," ")</f>
        <v>0</v>
      </c>
      <c r="H27" s="11">
        <f>IF(A27&lt;&gt;"",INDEX('[1]01-数据'!$C$14:$ND$14,MATCH(A27,'[1]01-数据'!$C$1:$ND$1))," ")</f>
        <v>0</v>
      </c>
    </row>
    <row r="28" spans="1:8">
      <c r="A28" s="10">
        <v>45560</v>
      </c>
      <c r="B28" s="11">
        <f>IF(A28&lt;&gt;"",INDEX('[1]01-数据'!$C$2:$ND$2,MATCH(A28,'[1]01-数据'!$C$1:$ND$1))," ")</f>
        <v>0</v>
      </c>
      <c r="C28" s="11">
        <f>IF(A28&lt;&gt;"",INDEX('[1]01-数据'!$C$3:$ND$3,MATCH(A28,'[1]01-数据'!$C$1:$ND$1))," ")</f>
        <v>0</v>
      </c>
      <c r="D28" s="12">
        <f>IF(A28&lt;&gt;"",INDEX('[1]01-数据'!$C$4:$ND$4,MATCH(A28,'[1]01-数据'!$C$1:$ND$1))," ")</f>
        <v>0</v>
      </c>
      <c r="E28" s="11">
        <f>IF(A28&lt;&gt;"",INDEX('[1]01-数据'!$C$6:$ND$6,MATCH(A28,'[1]01-数据'!$C$1:$ND$1))," ")</f>
        <v>0</v>
      </c>
      <c r="F28" s="15">
        <f>IF(A28&lt;&gt;"",INDEX('[1]01-数据'!$C$7:$ND$7,MATCH(A28,'[1]01-数据'!$C$1:$ND$1))," ")</f>
        <v>0</v>
      </c>
      <c r="G28" s="11">
        <f>IF(A28&lt;&gt;"",INDEX('[1]01-数据'!$C$11:$ND$11,MATCH(A28,'[1]01-数据'!$C$1:$ND$1))," ")</f>
        <v>0</v>
      </c>
      <c r="H28" s="11">
        <f>IF(A28&lt;&gt;"",INDEX('[1]01-数据'!$C$14:$ND$14,MATCH(A28,'[1]01-数据'!$C$1:$ND$1))," ")</f>
        <v>0</v>
      </c>
    </row>
    <row r="29" spans="1:8">
      <c r="A29" s="10">
        <v>45561</v>
      </c>
      <c r="B29" s="11">
        <f>IF(A29&lt;&gt;"",INDEX('[1]01-数据'!$C$2:$ND$2,MATCH(A29,'[1]01-数据'!$C$1:$ND$1))," ")</f>
        <v>0</v>
      </c>
      <c r="C29" s="11">
        <f>IF(A29&lt;&gt;"",INDEX('[1]01-数据'!$C$3:$ND$3,MATCH(A29,'[1]01-数据'!$C$1:$ND$1))," ")</f>
        <v>0</v>
      </c>
      <c r="D29" s="12">
        <f>IF(A29&lt;&gt;"",INDEX('[1]01-数据'!$C$4:$ND$4,MATCH(A29,'[1]01-数据'!$C$1:$ND$1))," ")</f>
        <v>0</v>
      </c>
      <c r="E29" s="11">
        <f>IF(A29&lt;&gt;"",INDEX('[1]01-数据'!$C$6:$ND$6,MATCH(A29,'[1]01-数据'!$C$1:$ND$1))," ")</f>
        <v>0</v>
      </c>
      <c r="F29" s="15">
        <f>IF(A29&lt;&gt;"",INDEX('[1]01-数据'!$C$7:$ND$7,MATCH(A29,'[1]01-数据'!$C$1:$ND$1))," ")</f>
        <v>0</v>
      </c>
      <c r="G29" s="11">
        <f>IF(A29&lt;&gt;"",INDEX('[1]01-数据'!$C$11:$ND$11,MATCH(A29,'[1]01-数据'!$C$1:$ND$1))," ")</f>
        <v>0</v>
      </c>
      <c r="H29" s="11">
        <f>IF(A29&lt;&gt;"",INDEX('[1]01-数据'!$C$14:$ND$14,MATCH(A29,'[1]01-数据'!$C$1:$ND$1))," ")</f>
        <v>0</v>
      </c>
    </row>
    <row r="30" spans="1:8">
      <c r="A30" s="10">
        <v>45562</v>
      </c>
      <c r="B30" s="11">
        <f>IF(A30&lt;&gt;"",INDEX('[1]01-数据'!$C$2:$ND$2,MATCH(A30,'[1]01-数据'!$C$1:$ND$1))," ")</f>
        <v>0</v>
      </c>
      <c r="C30" s="11">
        <f>IF(A30&lt;&gt;"",INDEX('[1]01-数据'!$C$3:$ND$3,MATCH(A30,'[1]01-数据'!$C$1:$ND$1))," ")</f>
        <v>0</v>
      </c>
      <c r="D30" s="12">
        <f>IF(A30&lt;&gt;"",INDEX('[1]01-数据'!$C$4:$ND$4,MATCH(A30,'[1]01-数据'!$C$1:$ND$1))," ")</f>
        <v>0</v>
      </c>
      <c r="E30" s="11">
        <f>IF(A30&lt;&gt;"",INDEX('[1]01-数据'!$C$6:$ND$6,MATCH(A30,'[1]01-数据'!$C$1:$ND$1))," ")</f>
        <v>0</v>
      </c>
      <c r="F30" s="15">
        <f>IF(A30&lt;&gt;"",INDEX('[1]01-数据'!$C$7:$ND$7,MATCH(A30,'[1]01-数据'!$C$1:$ND$1))," ")</f>
        <v>0</v>
      </c>
      <c r="G30" s="11">
        <f>IF(A30&lt;&gt;"",INDEX('[1]01-数据'!$C$11:$ND$11,MATCH(A30,'[1]01-数据'!$C$1:$ND$1))," ")</f>
        <v>0</v>
      </c>
      <c r="H30" s="11">
        <f>IF(A30&lt;&gt;"",INDEX('[1]01-数据'!$C$14:$ND$14,MATCH(A30,'[1]01-数据'!$C$1:$ND$1))," ")</f>
        <v>0</v>
      </c>
    </row>
    <row r="31" spans="1:8">
      <c r="A31" s="10">
        <v>45563</v>
      </c>
      <c r="B31" s="11">
        <f>IF(A31&lt;&gt;"",INDEX('[1]01-数据'!$C$2:$ND$2,MATCH(A31,'[1]01-数据'!$C$1:$ND$1))," ")</f>
        <v>0</v>
      </c>
      <c r="C31" s="11">
        <f>IF(A31&lt;&gt;"",INDEX('[1]01-数据'!$C$3:$ND$3,MATCH(A31,'[1]01-数据'!$C$1:$ND$1))," ")</f>
        <v>0</v>
      </c>
      <c r="D31" s="12">
        <f>IF(A31&lt;&gt;"",INDEX('[1]01-数据'!$C$4:$ND$4,MATCH(A31,'[1]01-数据'!$C$1:$ND$1))," ")</f>
        <v>0</v>
      </c>
      <c r="E31" s="11">
        <f>IF(A31&lt;&gt;"",INDEX('[1]01-数据'!$C$6:$ND$6,MATCH(A31,'[1]01-数据'!$C$1:$ND$1))," ")</f>
        <v>0</v>
      </c>
      <c r="F31" s="15">
        <f>IF(A31&lt;&gt;"",INDEX('[1]01-数据'!$C$7:$ND$7,MATCH(A31,'[1]01-数据'!$C$1:$ND$1))," ")</f>
        <v>0</v>
      </c>
      <c r="G31" s="11">
        <f>IF(A31&lt;&gt;"",INDEX('[1]01-数据'!$C$11:$ND$11,MATCH(A31,'[1]01-数据'!$C$1:$ND$1))," ")</f>
        <v>0</v>
      </c>
      <c r="H31" s="11">
        <f>IF(A31&lt;&gt;"",INDEX('[1]01-数据'!$C$14:$ND$14,MATCH(A31,'[1]01-数据'!$C$1:$ND$1))," ")</f>
        <v>0</v>
      </c>
    </row>
    <row r="32" spans="1:8">
      <c r="A32" s="10">
        <v>45564</v>
      </c>
      <c r="B32" s="11">
        <f>IF(A32&lt;&gt;"",INDEX('[1]01-数据'!$C$2:$ND$2,MATCH(A32,'[1]01-数据'!$C$1:$ND$1))," ")</f>
        <v>0</v>
      </c>
      <c r="C32" s="11">
        <f>IF(A32&lt;&gt;"",INDEX('[1]01-数据'!$C$3:$ND$3,MATCH(A32,'[1]01-数据'!$C$1:$ND$1))," ")</f>
        <v>0</v>
      </c>
      <c r="D32" s="12">
        <f>IF(A32&lt;&gt;"",INDEX('[1]01-数据'!$C$4:$ND$4,MATCH(A32,'[1]01-数据'!$C$1:$ND$1))," ")</f>
        <v>0</v>
      </c>
      <c r="E32" s="11">
        <f>IF(A32&lt;&gt;"",INDEX('[1]01-数据'!$C$6:$ND$6,MATCH(A32,'[1]01-数据'!$C$1:$ND$1))," ")</f>
        <v>0</v>
      </c>
      <c r="F32" s="15">
        <f>IF(A32&lt;&gt;"",INDEX('[1]01-数据'!$C$7:$ND$7,MATCH(A32,'[1]01-数据'!$C$1:$ND$1))," ")</f>
        <v>0</v>
      </c>
      <c r="G32" s="11">
        <f>IF(A32&lt;&gt;"",INDEX('[1]01-数据'!$C$11:$ND$11,MATCH(A32,'[1]01-数据'!$C$1:$ND$1))," ")</f>
        <v>0</v>
      </c>
      <c r="H32" s="11">
        <f>IF(A32&lt;&gt;"",INDEX('[1]01-数据'!$C$14:$ND$14,MATCH(A32,'[1]01-数据'!$C$1:$ND$1))," ")</f>
        <v>0</v>
      </c>
    </row>
    <row r="33" spans="1:8">
      <c r="A33" s="10">
        <v>45565</v>
      </c>
      <c r="B33" s="11">
        <f>IF(A33&lt;&gt;"",INDEX('[1]01-数据'!$C$2:$ND$2,MATCH(A33,'[1]01-数据'!$C$1:$ND$1))," ")</f>
        <v>0</v>
      </c>
      <c r="C33" s="11">
        <f>IF(A33&lt;&gt;"",INDEX('[1]01-数据'!$C$3:$ND$3,MATCH(A33,'[1]01-数据'!$C$1:$ND$1))," ")</f>
        <v>0</v>
      </c>
      <c r="D33" s="12">
        <f>IF(A33&lt;&gt;"",INDEX('[1]01-数据'!$C$4:$ND$4,MATCH(A33,'[1]01-数据'!$C$1:$ND$1))," ")</f>
        <v>0</v>
      </c>
      <c r="E33" s="11">
        <f>IF(A33&lt;&gt;"",INDEX('[1]01-数据'!$C$6:$ND$6,MATCH(A33,'[1]01-数据'!$C$1:$ND$1))," ")</f>
        <v>0</v>
      </c>
      <c r="F33" s="15">
        <f>IF(A33&lt;&gt;"",INDEX('[1]01-数据'!$C$7:$ND$7,MATCH(A33,'[1]01-数据'!$C$1:$ND$1))," ")</f>
        <v>0</v>
      </c>
      <c r="G33" s="11">
        <f>IF(A33&lt;&gt;"",INDEX('[1]01-数据'!$C$11:$ND$11,MATCH(A33,'[1]01-数据'!$C$1:$ND$1))," ")</f>
        <v>0</v>
      </c>
      <c r="H33" s="11">
        <f>IF(A33&lt;&gt;"",INDEX('[1]01-数据'!$C$14:$ND$14,MATCH(A33,'[1]01-数据'!$C$1:$ND$1))," ")</f>
        <v>0</v>
      </c>
    </row>
    <row r="34" spans="1:8">
      <c r="A34" s="10"/>
      <c r="B34" s="11"/>
      <c r="C34" s="11"/>
      <c r="D34" s="12"/>
      <c r="E34" s="11"/>
      <c r="F34" s="15"/>
      <c r="G34" s="11"/>
      <c r="H34" s="11"/>
    </row>
    <row r="35" spans="1:8">
      <c r="A35" s="24"/>
      <c r="B35" s="11" t="str">
        <f>IF(A35&lt;&gt;"",INDEX('[1]01-数据'!$C$2:$ND$2,MATCH(A35,'[1]01-数据'!$C$1:$ND$1))," ")</f>
        <v> </v>
      </c>
      <c r="C35" s="11" t="str">
        <f>IF(A35&lt;&gt;"",INDEX('[1]01-数据'!$C$3:$ND$3,MATCH(A35,'[1]01-数据'!$C$1:$ND$1))," ")</f>
        <v> </v>
      </c>
      <c r="D35" s="12" t="str">
        <f>IF(A35&lt;&gt;"",INDEX('[1]01-数据'!$C$4:$ND$4,MATCH(A35,'[1]01-数据'!$C$1:$ND$1))," ")</f>
        <v> </v>
      </c>
      <c r="E35" s="11" t="str">
        <f>IF(A35&lt;&gt;"",INDEX('[1]01-数据'!$C$6:$ND$6,MATCH(A35,'[1]01-数据'!$C$1:$ND$1))," ")</f>
        <v> </v>
      </c>
      <c r="F35" s="15" t="str">
        <f>IF(A35&lt;&gt;"",INDEX('[1]01-数据'!$C$7:$ND$7,MATCH(A35,'[1]01-数据'!$C$1:$ND$1))," ")</f>
        <v> </v>
      </c>
      <c r="G35" s="11" t="str">
        <f>IF(A35&lt;&gt;"",INDEX('[1]01-数据'!$C$11:$ND$11,MATCH(A35,'[1]01-数据'!$C$1:$ND$1))," ")</f>
        <v> </v>
      </c>
      <c r="H35" s="11" t="str">
        <f>IF(A35&lt;&gt;"",INDEX('[1]01-数据'!$C$14:$ND$14,MATCH(A35,'[1]01-数据'!$C$1:$ND$1))," ")</f>
        <v> </v>
      </c>
    </row>
    <row r="36" spans="1:8">
      <c r="A36" s="13" t="s">
        <v>9</v>
      </c>
      <c r="B36" s="13"/>
      <c r="C36" s="13"/>
      <c r="D36" s="13"/>
      <c r="E36" s="13"/>
      <c r="F36" s="13"/>
      <c r="G36" s="16"/>
      <c r="H36" s="16"/>
    </row>
  </sheetData>
  <mergeCells count="2">
    <mergeCell ref="A1:H1"/>
    <mergeCell ref="A2:H2"/>
  </mergeCells>
  <conditionalFormatting sqref="C4:C35">
    <cfRule type="top10" dxfId="0" priority="2" rank="1"/>
  </conditionalFormatting>
  <conditionalFormatting sqref="E4:E35">
    <cfRule type="top10" dxfId="0" priority="1" rank="1"/>
  </conditionalFormatting>
  <pageMargins left="0.75" right="0.75" top="1" bottom="1" header="0.511805555555556" footer="0.511805555555556"/>
  <pageSetup paperSize="9" scale="9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workbookViewId="0">
      <pane xSplit="1" ySplit="3" topLeftCell="B20" activePane="bottomRight" state="frozen"/>
      <selection/>
      <selection pane="topRight"/>
      <selection pane="bottomLeft"/>
      <selection pane="bottomRight" activeCell="A35" sqref="A35"/>
    </sheetView>
  </sheetViews>
  <sheetFormatPr defaultColWidth="9" defaultRowHeight="14.25"/>
  <cols>
    <col min="1" max="1" width="11.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20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="1" customFormat="1" spans="1:8">
      <c r="A4" s="7">
        <v>45566</v>
      </c>
      <c r="B4" s="8"/>
      <c r="C4" s="8"/>
      <c r="D4" s="9"/>
      <c r="E4" s="8"/>
      <c r="F4" s="14"/>
      <c r="G4" s="8"/>
      <c r="H4" s="8"/>
    </row>
    <row r="5" s="1" customFormat="1" spans="1:8">
      <c r="A5" s="7">
        <v>45567</v>
      </c>
      <c r="B5" s="8"/>
      <c r="C5" s="8"/>
      <c r="D5" s="9"/>
      <c r="E5" s="8"/>
      <c r="F5" s="14"/>
      <c r="G5" s="8"/>
      <c r="H5" s="8"/>
    </row>
    <row r="6" s="1" customFormat="1" spans="1:8">
      <c r="A6" s="7">
        <v>45568</v>
      </c>
      <c r="B6" s="8"/>
      <c r="C6" s="8"/>
      <c r="D6" s="9"/>
      <c r="E6" s="8"/>
      <c r="F6" s="14"/>
      <c r="G6" s="8"/>
      <c r="H6" s="8"/>
    </row>
    <row r="7" s="1" customFormat="1" spans="1:8">
      <c r="A7" s="7">
        <v>45569</v>
      </c>
      <c r="B7" s="8"/>
      <c r="C7" s="8"/>
      <c r="D7" s="9"/>
      <c r="E7" s="8"/>
      <c r="F7" s="14"/>
      <c r="G7" s="8"/>
      <c r="H7" s="8"/>
    </row>
    <row r="8" s="1" customFormat="1" spans="1:8">
      <c r="A8" s="7">
        <v>45570</v>
      </c>
      <c r="B8" s="8"/>
      <c r="C8" s="8"/>
      <c r="D8" s="9"/>
      <c r="E8" s="8"/>
      <c r="F8" s="14"/>
      <c r="G8" s="8"/>
      <c r="H8" s="8"/>
    </row>
    <row r="9" s="1" customFormat="1" spans="1:8">
      <c r="A9" s="7">
        <v>45571</v>
      </c>
      <c r="B9" s="8"/>
      <c r="C9" s="8"/>
      <c r="D9" s="9"/>
      <c r="E9" s="8"/>
      <c r="F9" s="14"/>
      <c r="G9" s="8"/>
      <c r="H9" s="8"/>
    </row>
    <row r="10" s="1" customFormat="1" spans="1:8">
      <c r="A10" s="7">
        <v>45572</v>
      </c>
      <c r="B10" s="8"/>
      <c r="C10" s="8"/>
      <c r="D10" s="9"/>
      <c r="E10" s="8"/>
      <c r="F10" s="14"/>
      <c r="G10" s="8"/>
      <c r="H10" s="8"/>
    </row>
    <row r="11" spans="1:8">
      <c r="A11" s="10">
        <v>45573</v>
      </c>
      <c r="B11" s="11"/>
      <c r="C11" s="11"/>
      <c r="D11" s="12"/>
      <c r="E11" s="11"/>
      <c r="F11" s="15"/>
      <c r="G11" s="11"/>
      <c r="H11" s="11"/>
    </row>
    <row r="12" spans="1:8">
      <c r="A12" s="10">
        <v>45574</v>
      </c>
      <c r="B12" s="11"/>
      <c r="C12" s="11"/>
      <c r="D12" s="12"/>
      <c r="E12" s="11"/>
      <c r="F12" s="15"/>
      <c r="G12" s="11"/>
      <c r="H12" s="11"/>
    </row>
    <row r="13" spans="1:11">
      <c r="A13" s="10">
        <v>45575</v>
      </c>
      <c r="B13" s="11"/>
      <c r="C13" s="11"/>
      <c r="D13" s="12"/>
      <c r="E13" s="11"/>
      <c r="F13" s="15"/>
      <c r="G13" s="11"/>
      <c r="H13" s="11"/>
      <c r="K13" s="17"/>
    </row>
    <row r="14" spans="1:11">
      <c r="A14" s="10">
        <v>45576</v>
      </c>
      <c r="B14" s="11"/>
      <c r="C14" s="11"/>
      <c r="D14" s="12"/>
      <c r="E14" s="11"/>
      <c r="F14" s="15"/>
      <c r="G14" s="11"/>
      <c r="H14" s="11"/>
      <c r="K14" s="17"/>
    </row>
    <row r="15" spans="1:11">
      <c r="A15" s="10">
        <v>45577</v>
      </c>
      <c r="B15" s="11"/>
      <c r="C15" s="11"/>
      <c r="D15" s="12"/>
      <c r="E15" s="11"/>
      <c r="F15" s="15"/>
      <c r="G15" s="11"/>
      <c r="H15" s="11"/>
      <c r="K15" s="17"/>
    </row>
    <row r="16" s="1" customFormat="1" spans="1:8">
      <c r="A16" s="7">
        <v>45578</v>
      </c>
      <c r="B16" s="8"/>
      <c r="C16" s="8"/>
      <c r="D16" s="9"/>
      <c r="E16" s="8"/>
      <c r="F16" s="14"/>
      <c r="G16" s="8"/>
      <c r="H16" s="8"/>
    </row>
    <row r="17" spans="1:8">
      <c r="A17" s="10">
        <v>45579</v>
      </c>
      <c r="B17" s="11"/>
      <c r="C17" s="11"/>
      <c r="D17" s="12"/>
      <c r="E17" s="11"/>
      <c r="F17" s="15"/>
      <c r="G17" s="11"/>
      <c r="H17" s="11"/>
    </row>
    <row r="18" spans="1:8">
      <c r="A18" s="10">
        <v>45580</v>
      </c>
      <c r="B18" s="11"/>
      <c r="C18" s="11"/>
      <c r="D18" s="12"/>
      <c r="E18" s="11"/>
      <c r="F18" s="15"/>
      <c r="G18" s="11"/>
      <c r="H18" s="11"/>
    </row>
    <row r="19" spans="1:8">
      <c r="A19" s="10">
        <v>45581</v>
      </c>
      <c r="B19" s="11"/>
      <c r="C19" s="11"/>
      <c r="D19" s="12"/>
      <c r="E19" s="11"/>
      <c r="F19" s="15"/>
      <c r="G19" s="11"/>
      <c r="H19" s="11"/>
    </row>
    <row r="20" spans="1:8">
      <c r="A20" s="10">
        <v>45582</v>
      </c>
      <c r="B20" s="11"/>
      <c r="C20" s="11"/>
      <c r="D20" s="12"/>
      <c r="E20" s="11"/>
      <c r="F20" s="15"/>
      <c r="G20" s="11"/>
      <c r="H20" s="11"/>
    </row>
    <row r="21" spans="1:8">
      <c r="A21" s="10">
        <v>45583</v>
      </c>
      <c r="B21" s="11"/>
      <c r="C21" s="11"/>
      <c r="D21" s="12"/>
      <c r="E21" s="11"/>
      <c r="F21" s="15"/>
      <c r="G21" s="11"/>
      <c r="H21" s="11"/>
    </row>
    <row r="22" s="1" customFormat="1" spans="1:8">
      <c r="A22" s="7">
        <v>45584</v>
      </c>
      <c r="B22" s="8"/>
      <c r="C22" s="8"/>
      <c r="D22" s="9"/>
      <c r="E22" s="8"/>
      <c r="F22" s="14"/>
      <c r="G22" s="8"/>
      <c r="H22" s="8"/>
    </row>
    <row r="23" s="1" customFormat="1" spans="1:8">
      <c r="A23" s="7">
        <v>45585</v>
      </c>
      <c r="B23" s="8"/>
      <c r="C23" s="8"/>
      <c r="D23" s="9"/>
      <c r="E23" s="8"/>
      <c r="F23" s="14"/>
      <c r="G23" s="8"/>
      <c r="H23" s="8"/>
    </row>
    <row r="24" spans="1:8">
      <c r="A24" s="10">
        <v>45586</v>
      </c>
      <c r="B24" s="11"/>
      <c r="C24" s="11"/>
      <c r="D24" s="12"/>
      <c r="E24" s="11"/>
      <c r="F24" s="15"/>
      <c r="G24" s="11"/>
      <c r="H24" s="11"/>
    </row>
    <row r="25" spans="1:8">
      <c r="A25" s="10">
        <v>45587</v>
      </c>
      <c r="B25" s="11"/>
      <c r="C25" s="11"/>
      <c r="D25" s="12"/>
      <c r="E25" s="11"/>
      <c r="F25" s="15"/>
      <c r="G25" s="11"/>
      <c r="H25" s="11"/>
    </row>
    <row r="26" spans="1:8">
      <c r="A26" s="10">
        <v>45588</v>
      </c>
      <c r="B26" s="11"/>
      <c r="C26" s="11"/>
      <c r="D26" s="12"/>
      <c r="E26" s="11"/>
      <c r="F26" s="15"/>
      <c r="G26" s="11"/>
      <c r="H26" s="11"/>
    </row>
    <row r="27" spans="1:8">
      <c r="A27" s="10">
        <v>45589</v>
      </c>
      <c r="B27" s="11"/>
      <c r="C27" s="11"/>
      <c r="D27" s="12"/>
      <c r="E27" s="11"/>
      <c r="F27" s="15"/>
      <c r="G27" s="11"/>
      <c r="H27" s="11"/>
    </row>
    <row r="28" spans="1:8">
      <c r="A28" s="10">
        <v>45590</v>
      </c>
      <c r="B28" s="11"/>
      <c r="C28" s="11"/>
      <c r="D28" s="12"/>
      <c r="E28" s="11"/>
      <c r="F28" s="15"/>
      <c r="G28" s="11"/>
      <c r="H28" s="11"/>
    </row>
    <row r="29" s="1" customFormat="1" spans="1:8">
      <c r="A29" s="7">
        <v>45591</v>
      </c>
      <c r="B29" s="8"/>
      <c r="C29" s="8"/>
      <c r="D29" s="9"/>
      <c r="E29" s="8"/>
      <c r="F29" s="14"/>
      <c r="G29" s="8"/>
      <c r="H29" s="8"/>
    </row>
    <row r="30" s="1" customFormat="1" spans="1:8">
      <c r="A30" s="7">
        <v>45592</v>
      </c>
      <c r="B30" s="8"/>
      <c r="C30" s="8"/>
      <c r="D30" s="9"/>
      <c r="E30" s="8"/>
      <c r="F30" s="14"/>
      <c r="G30" s="8"/>
      <c r="H30" s="8"/>
    </row>
    <row r="31" spans="1:8">
      <c r="A31" s="10">
        <v>45593</v>
      </c>
      <c r="B31" s="11"/>
      <c r="C31" s="11"/>
      <c r="D31" s="12"/>
      <c r="E31" s="11"/>
      <c r="F31" s="15"/>
      <c r="G31" s="11"/>
      <c r="H31" s="11"/>
    </row>
    <row r="32" spans="1:8">
      <c r="A32" s="10">
        <v>45594</v>
      </c>
      <c r="B32" s="11"/>
      <c r="C32" s="11"/>
      <c r="D32" s="12"/>
      <c r="E32" s="11"/>
      <c r="F32" s="15"/>
      <c r="G32" s="11"/>
      <c r="H32" s="11"/>
    </row>
    <row r="33" spans="1:8">
      <c r="A33" s="10">
        <v>45595</v>
      </c>
      <c r="B33" s="11"/>
      <c r="C33" s="11"/>
      <c r="D33" s="12"/>
      <c r="E33" s="11"/>
      <c r="F33" s="15"/>
      <c r="G33" s="11"/>
      <c r="H33" s="11"/>
    </row>
    <row r="34" spans="1:8">
      <c r="A34" s="10">
        <v>45596</v>
      </c>
      <c r="B34" s="11"/>
      <c r="C34" s="11"/>
      <c r="D34" s="12"/>
      <c r="E34" s="11"/>
      <c r="F34" s="15"/>
      <c r="G34" s="11"/>
      <c r="H34" s="11"/>
    </row>
    <row r="35" spans="1:8">
      <c r="A35" s="13" t="s">
        <v>9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zoomScale="160" zoomScaleNormal="160" topLeftCell="A18" workbookViewId="0">
      <selection activeCell="A34" sqref="A34"/>
    </sheetView>
  </sheetViews>
  <sheetFormatPr defaultColWidth="9" defaultRowHeight="14.25" outlineLevelCol="7"/>
  <cols>
    <col min="1" max="1" width="11.5"/>
    <col min="2" max="2" width="10.5666666666667" customWidth="1"/>
    <col min="3" max="3" width="13.1666666666667" customWidth="1"/>
    <col min="4" max="4" width="7.30833333333333" customWidth="1"/>
    <col min="5" max="5" width="13.2666666666667" customWidth="1"/>
    <col min="6" max="6" width="8.35833333333333" customWidth="1"/>
    <col min="7" max="7" width="9.51666666666667" customWidth="1"/>
  </cols>
  <sheetData>
    <row r="1" ht="18.75" spans="1:8">
      <c r="A1" s="18" t="s">
        <v>21</v>
      </c>
      <c r="B1" s="18"/>
      <c r="C1" s="18"/>
      <c r="D1" s="18"/>
      <c r="E1" s="18"/>
      <c r="F1" s="18"/>
      <c r="G1" s="18"/>
      <c r="H1" s="18"/>
    </row>
    <row r="2" spans="1:8">
      <c r="A2" s="19" t="s">
        <v>1</v>
      </c>
      <c r="B2" s="19"/>
      <c r="C2" s="19"/>
      <c r="D2" s="19"/>
      <c r="E2" s="19"/>
      <c r="F2" s="19"/>
      <c r="G2" s="19"/>
      <c r="H2" s="19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="2" customFormat="1" spans="1:8">
      <c r="A4" s="10">
        <v>45597</v>
      </c>
      <c r="B4" s="11"/>
      <c r="C4" s="11"/>
      <c r="D4" s="12"/>
      <c r="E4" s="11"/>
      <c r="F4" s="15"/>
      <c r="G4" s="11"/>
      <c r="H4" s="11"/>
    </row>
    <row r="5" s="1" customFormat="1" spans="1:8">
      <c r="A5" s="20">
        <v>45598</v>
      </c>
      <c r="B5" s="8"/>
      <c r="C5" s="8"/>
      <c r="D5" s="9"/>
      <c r="E5" s="8"/>
      <c r="F5" s="14"/>
      <c r="G5" s="8"/>
      <c r="H5" s="8"/>
    </row>
    <row r="6" s="1" customFormat="1" spans="1:8">
      <c r="A6" s="20">
        <v>45599</v>
      </c>
      <c r="B6" s="8"/>
      <c r="C6" s="8"/>
      <c r="D6" s="9"/>
      <c r="E6" s="8"/>
      <c r="F6" s="14"/>
      <c r="G6" s="8"/>
      <c r="H6" s="8"/>
    </row>
    <row r="7" s="2" customFormat="1" spans="1:8">
      <c r="A7" s="21">
        <v>45600</v>
      </c>
      <c r="B7" s="11"/>
      <c r="C7" s="11"/>
      <c r="D7" s="12"/>
      <c r="E7" s="11"/>
      <c r="F7" s="15"/>
      <c r="G7" s="22"/>
      <c r="H7" s="11"/>
    </row>
    <row r="8" s="2" customFormat="1" spans="1:8">
      <c r="A8" s="21">
        <v>45601</v>
      </c>
      <c r="B8" s="11"/>
      <c r="C8" s="11"/>
      <c r="D8" s="12"/>
      <c r="E8" s="11"/>
      <c r="F8" s="15"/>
      <c r="G8" s="22"/>
      <c r="H8" s="11"/>
    </row>
    <row r="9" s="2" customFormat="1" spans="1:8">
      <c r="A9" s="21">
        <v>45602</v>
      </c>
      <c r="B9" s="11"/>
      <c r="C9" s="11"/>
      <c r="D9" s="12"/>
      <c r="E9" s="11"/>
      <c r="F9" s="15"/>
      <c r="G9" s="22"/>
      <c r="H9" s="11"/>
    </row>
    <row r="10" s="2" customFormat="1" spans="1:8">
      <c r="A10" s="21">
        <v>45603</v>
      </c>
      <c r="B10" s="11"/>
      <c r="C10" s="11"/>
      <c r="D10" s="12"/>
      <c r="E10" s="11"/>
      <c r="F10" s="15"/>
      <c r="G10" s="22"/>
      <c r="H10" s="22"/>
    </row>
    <row r="11" s="2" customFormat="1" spans="1:8">
      <c r="A11" s="21">
        <v>45604</v>
      </c>
      <c r="B11" s="11"/>
      <c r="C11" s="11"/>
      <c r="D11" s="12"/>
      <c r="E11" s="11"/>
      <c r="F11" s="15"/>
      <c r="G11" s="22"/>
      <c r="H11" s="22"/>
    </row>
    <row r="12" s="1" customFormat="1" spans="1:8">
      <c r="A12" s="20">
        <v>45605</v>
      </c>
      <c r="B12" s="8"/>
      <c r="C12" s="8"/>
      <c r="D12" s="9"/>
      <c r="E12" s="8"/>
      <c r="F12" s="14"/>
      <c r="G12" s="23"/>
      <c r="H12" s="23"/>
    </row>
    <row r="13" s="1" customFormat="1" spans="1:8">
      <c r="A13" s="20">
        <v>45606</v>
      </c>
      <c r="B13" s="8"/>
      <c r="C13" s="8"/>
      <c r="D13" s="9"/>
      <c r="E13" s="8"/>
      <c r="F13" s="14"/>
      <c r="G13" s="23"/>
      <c r="H13" s="23"/>
    </row>
    <row r="14" s="2" customFormat="1" spans="1:8">
      <c r="A14" s="21">
        <v>45607</v>
      </c>
      <c r="B14" s="11"/>
      <c r="C14" s="11"/>
      <c r="D14" s="12"/>
      <c r="E14" s="11"/>
      <c r="F14" s="15"/>
      <c r="G14" s="22"/>
      <c r="H14" s="22"/>
    </row>
    <row r="15" s="2" customFormat="1" spans="1:8">
      <c r="A15" s="21">
        <v>45608</v>
      </c>
      <c r="B15" s="11"/>
      <c r="C15" s="11"/>
      <c r="D15" s="12"/>
      <c r="E15" s="11"/>
      <c r="F15" s="15"/>
      <c r="G15" s="22"/>
      <c r="H15" s="22"/>
    </row>
    <row r="16" s="2" customFormat="1" spans="1:8">
      <c r="A16" s="21">
        <v>45609</v>
      </c>
      <c r="B16" s="11"/>
      <c r="C16" s="11"/>
      <c r="D16" s="12"/>
      <c r="E16" s="11"/>
      <c r="F16" s="15"/>
      <c r="G16" s="22"/>
      <c r="H16" s="22"/>
    </row>
    <row r="17" s="2" customFormat="1" spans="1:8">
      <c r="A17" s="21">
        <v>45610</v>
      </c>
      <c r="B17" s="11"/>
      <c r="C17" s="11"/>
      <c r="D17" s="12"/>
      <c r="E17" s="11"/>
      <c r="F17" s="15"/>
      <c r="G17" s="22"/>
      <c r="H17" s="22"/>
    </row>
    <row r="18" s="2" customFormat="1" spans="1:8">
      <c r="A18" s="21">
        <v>45611</v>
      </c>
      <c r="B18" s="11"/>
      <c r="C18" s="11"/>
      <c r="D18" s="12"/>
      <c r="E18" s="11"/>
      <c r="F18" s="15"/>
      <c r="G18" s="22"/>
      <c r="H18" s="22"/>
    </row>
    <row r="19" s="1" customFormat="1" spans="1:8">
      <c r="A19" s="20">
        <v>45612</v>
      </c>
      <c r="B19" s="8"/>
      <c r="C19" s="8"/>
      <c r="D19" s="9"/>
      <c r="E19" s="8"/>
      <c r="F19" s="14"/>
      <c r="G19" s="23"/>
      <c r="H19" s="23"/>
    </row>
    <row r="20" s="1" customFormat="1" spans="1:8">
      <c r="A20" s="20">
        <v>45613</v>
      </c>
      <c r="B20" s="8"/>
      <c r="C20" s="8"/>
      <c r="D20" s="9"/>
      <c r="E20" s="8"/>
      <c r="F20" s="14"/>
      <c r="G20" s="23"/>
      <c r="H20" s="23"/>
    </row>
    <row r="21" s="2" customFormat="1" spans="1:8">
      <c r="A21" s="21">
        <v>45614</v>
      </c>
      <c r="B21" s="11"/>
      <c r="C21" s="11"/>
      <c r="D21" s="12"/>
      <c r="E21" s="11"/>
      <c r="F21" s="15"/>
      <c r="G21" s="22"/>
      <c r="H21" s="22"/>
    </row>
    <row r="22" s="2" customFormat="1" spans="1:8">
      <c r="A22" s="21">
        <v>45615</v>
      </c>
      <c r="B22" s="11"/>
      <c r="C22" s="11"/>
      <c r="D22" s="12"/>
      <c r="E22" s="11"/>
      <c r="F22" s="15"/>
      <c r="G22" s="22"/>
      <c r="H22" s="22"/>
    </row>
    <row r="23" s="2" customFormat="1" spans="1:8">
      <c r="A23" s="21">
        <v>45616</v>
      </c>
      <c r="B23" s="11"/>
      <c r="C23" s="11"/>
      <c r="D23" s="12"/>
      <c r="E23" s="11"/>
      <c r="F23" s="15"/>
      <c r="G23" s="22"/>
      <c r="H23" s="22"/>
    </row>
    <row r="24" s="2" customFormat="1" spans="1:8">
      <c r="A24" s="21">
        <v>45617</v>
      </c>
      <c r="B24" s="11"/>
      <c r="C24" s="11"/>
      <c r="D24" s="12"/>
      <c r="E24" s="11"/>
      <c r="F24" s="15"/>
      <c r="G24" s="22"/>
      <c r="H24" s="22"/>
    </row>
    <row r="25" s="2" customFormat="1" spans="1:8">
      <c r="A25" s="21">
        <v>45618</v>
      </c>
      <c r="B25" s="11"/>
      <c r="C25" s="11"/>
      <c r="D25" s="12"/>
      <c r="E25" s="11"/>
      <c r="F25" s="15"/>
      <c r="G25" s="22"/>
      <c r="H25" s="22"/>
    </row>
    <row r="26" s="1" customFormat="1" spans="1:8">
      <c r="A26" s="20">
        <v>45619</v>
      </c>
      <c r="B26" s="8"/>
      <c r="C26" s="8"/>
      <c r="D26" s="9"/>
      <c r="E26" s="8"/>
      <c r="F26" s="14"/>
      <c r="G26" s="23"/>
      <c r="H26" s="23"/>
    </row>
    <row r="27" s="1" customFormat="1" spans="1:8">
      <c r="A27" s="20">
        <v>45620</v>
      </c>
      <c r="B27" s="8"/>
      <c r="C27" s="8"/>
      <c r="D27" s="9"/>
      <c r="E27" s="8"/>
      <c r="F27" s="14"/>
      <c r="G27" s="23"/>
      <c r="H27" s="23"/>
    </row>
    <row r="28" s="2" customFormat="1" spans="1:8">
      <c r="A28" s="21">
        <v>45621</v>
      </c>
      <c r="B28" s="11"/>
      <c r="C28" s="11"/>
      <c r="D28" s="12"/>
      <c r="E28" s="11"/>
      <c r="F28" s="15"/>
      <c r="G28" s="22"/>
      <c r="H28" s="22"/>
    </row>
    <row r="29" s="2" customFormat="1" spans="1:8">
      <c r="A29" s="21">
        <v>45622</v>
      </c>
      <c r="B29" s="11"/>
      <c r="C29" s="11"/>
      <c r="D29" s="12"/>
      <c r="E29" s="11"/>
      <c r="F29" s="15"/>
      <c r="G29" s="22"/>
      <c r="H29" s="22"/>
    </row>
    <row r="30" s="2" customFormat="1" spans="1:8">
      <c r="A30" s="21">
        <v>45623</v>
      </c>
      <c r="B30" s="11"/>
      <c r="C30" s="11"/>
      <c r="D30" s="12"/>
      <c r="E30" s="11"/>
      <c r="F30" s="15"/>
      <c r="G30" s="22"/>
      <c r="H30" s="22"/>
    </row>
    <row r="31" s="2" customFormat="1" spans="1:8">
      <c r="A31" s="21">
        <v>45624</v>
      </c>
      <c r="B31" s="11"/>
      <c r="C31" s="11"/>
      <c r="D31" s="12"/>
      <c r="E31" s="11"/>
      <c r="F31" s="15"/>
      <c r="G31" s="22"/>
      <c r="H31" s="22"/>
    </row>
    <row r="32" s="2" customFormat="1" spans="1:8">
      <c r="A32" s="21">
        <v>45625</v>
      </c>
      <c r="B32" s="11"/>
      <c r="C32" s="11"/>
      <c r="D32" s="12"/>
      <c r="E32" s="11"/>
      <c r="F32" s="15"/>
      <c r="G32" s="22"/>
      <c r="H32" s="22"/>
    </row>
    <row r="33" s="1" customFormat="1" spans="1:8">
      <c r="A33" s="20">
        <v>45626</v>
      </c>
      <c r="B33" s="8"/>
      <c r="C33" s="8"/>
      <c r="D33" s="9"/>
      <c r="E33" s="8"/>
      <c r="F33" s="14"/>
      <c r="G33" s="23"/>
      <c r="H33" s="23"/>
    </row>
    <row r="34" spans="1:8">
      <c r="A34" s="13" t="s">
        <v>9</v>
      </c>
      <c r="B34" s="13"/>
      <c r="C34" s="13"/>
      <c r="D34" s="13"/>
      <c r="E34" s="13"/>
      <c r="F34" s="13"/>
      <c r="G34" s="16"/>
      <c r="H34" s="16"/>
    </row>
  </sheetData>
  <mergeCells count="2">
    <mergeCell ref="A1:H1"/>
    <mergeCell ref="A2:H2"/>
  </mergeCells>
  <pageMargins left="0.75" right="0.75" top="1" bottom="1" header="0.511805555555556" footer="0.51180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15" workbookViewId="0">
      <selection activeCell="A35" sqref="A35"/>
    </sheetView>
  </sheetViews>
  <sheetFormatPr defaultColWidth="9" defaultRowHeight="14.25"/>
  <cols>
    <col min="1" max="1" width="12.325" customWidth="1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22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="1" customFormat="1" spans="1:8">
      <c r="A4" s="7">
        <v>45627</v>
      </c>
      <c r="B4" s="8"/>
      <c r="C4" s="8"/>
      <c r="D4" s="9"/>
      <c r="E4" s="8"/>
      <c r="F4" s="14"/>
      <c r="G4" s="8"/>
      <c r="H4" s="8"/>
    </row>
    <row r="5" spans="1:8">
      <c r="A5" s="10">
        <v>45628</v>
      </c>
      <c r="B5" s="11"/>
      <c r="C5" s="11"/>
      <c r="D5" s="12"/>
      <c r="E5" s="11"/>
      <c r="F5" s="15"/>
      <c r="G5" s="11"/>
      <c r="H5" s="11"/>
    </row>
    <row r="6" spans="1:8">
      <c r="A6" s="10">
        <v>45629</v>
      </c>
      <c r="B6" s="11"/>
      <c r="C6" s="11"/>
      <c r="D6" s="12"/>
      <c r="E6" s="11"/>
      <c r="F6" s="15"/>
      <c r="G6" s="11"/>
      <c r="H6" s="11"/>
    </row>
    <row r="7" spans="1:8">
      <c r="A7" s="10">
        <v>45630</v>
      </c>
      <c r="B7" s="11"/>
      <c r="C7" s="11"/>
      <c r="D7" s="12"/>
      <c r="E7" s="11"/>
      <c r="F7" s="15"/>
      <c r="G7" s="11"/>
      <c r="H7" s="11"/>
    </row>
    <row r="8" spans="1:8">
      <c r="A8" s="10">
        <v>45631</v>
      </c>
      <c r="B8" s="11"/>
      <c r="C8" s="11"/>
      <c r="D8" s="12"/>
      <c r="E8" s="11"/>
      <c r="F8" s="15"/>
      <c r="G8" s="11"/>
      <c r="H8" s="11"/>
    </row>
    <row r="9" spans="1:8">
      <c r="A9" s="10">
        <v>45632</v>
      </c>
      <c r="B9" s="11"/>
      <c r="C9" s="11"/>
      <c r="D9" s="12"/>
      <c r="E9" s="11"/>
      <c r="F9" s="15"/>
      <c r="G9" s="11"/>
      <c r="H9" s="11"/>
    </row>
    <row r="10" s="1" customFormat="1" spans="1:8">
      <c r="A10" s="7">
        <v>45633</v>
      </c>
      <c r="B10" s="8"/>
      <c r="C10" s="8"/>
      <c r="D10" s="9"/>
      <c r="E10" s="8"/>
      <c r="F10" s="14"/>
      <c r="G10" s="8"/>
      <c r="H10" s="8"/>
    </row>
    <row r="11" s="1" customFormat="1" spans="1:8">
      <c r="A11" s="7">
        <v>45634</v>
      </c>
      <c r="B11" s="8"/>
      <c r="C11" s="8"/>
      <c r="D11" s="9"/>
      <c r="E11" s="8"/>
      <c r="F11" s="14"/>
      <c r="G11" s="8"/>
      <c r="H11" s="8"/>
    </row>
    <row r="12" spans="1:8">
      <c r="A12" s="10">
        <v>45635</v>
      </c>
      <c r="B12" s="11"/>
      <c r="C12" s="11"/>
      <c r="D12" s="12"/>
      <c r="E12" s="11"/>
      <c r="F12" s="15"/>
      <c r="G12" s="11"/>
      <c r="H12" s="11"/>
    </row>
    <row r="13" spans="1:11">
      <c r="A13" s="10">
        <v>45636</v>
      </c>
      <c r="B13" s="11"/>
      <c r="C13" s="11"/>
      <c r="D13" s="12"/>
      <c r="E13" s="11"/>
      <c r="F13" s="15"/>
      <c r="G13" s="11"/>
      <c r="H13" s="11"/>
      <c r="K13" s="17"/>
    </row>
    <row r="14" spans="1:11">
      <c r="A14" s="10">
        <v>45637</v>
      </c>
      <c r="B14" s="11"/>
      <c r="C14" s="11"/>
      <c r="D14" s="12"/>
      <c r="E14" s="11"/>
      <c r="F14" s="15"/>
      <c r="G14" s="11"/>
      <c r="H14" s="11"/>
      <c r="K14" s="17"/>
    </row>
    <row r="15" spans="1:11">
      <c r="A15" s="10">
        <v>45638</v>
      </c>
      <c r="B15" s="11"/>
      <c r="C15" s="11"/>
      <c r="D15" s="12"/>
      <c r="E15" s="11"/>
      <c r="F15" s="15"/>
      <c r="G15" s="11"/>
      <c r="H15" s="11"/>
      <c r="K15" s="17"/>
    </row>
    <row r="16" spans="1:8">
      <c r="A16" s="10">
        <v>45639</v>
      </c>
      <c r="B16" s="11"/>
      <c r="C16" s="11"/>
      <c r="D16" s="12"/>
      <c r="E16" s="11"/>
      <c r="F16" s="15"/>
      <c r="G16" s="11"/>
      <c r="H16" s="11"/>
    </row>
    <row r="17" s="1" customFormat="1" spans="1:8">
      <c r="A17" s="7">
        <v>45640</v>
      </c>
      <c r="B17" s="8"/>
      <c r="C17" s="8"/>
      <c r="D17" s="9"/>
      <c r="E17" s="8"/>
      <c r="F17" s="14"/>
      <c r="G17" s="8"/>
      <c r="H17" s="8"/>
    </row>
    <row r="18" s="1" customFormat="1" spans="1:8">
      <c r="A18" s="7">
        <v>45641</v>
      </c>
      <c r="B18" s="8"/>
      <c r="C18" s="8"/>
      <c r="D18" s="9"/>
      <c r="E18" s="8"/>
      <c r="F18" s="14"/>
      <c r="G18" s="8"/>
      <c r="H18" s="8"/>
    </row>
    <row r="19" spans="1:8">
      <c r="A19" s="10">
        <v>45642</v>
      </c>
      <c r="B19" s="11"/>
      <c r="C19" s="11"/>
      <c r="D19" s="12"/>
      <c r="E19" s="11"/>
      <c r="F19" s="15"/>
      <c r="G19" s="11"/>
      <c r="H19" s="11"/>
    </row>
    <row r="20" spans="1:8">
      <c r="A20" s="10">
        <v>45643</v>
      </c>
      <c r="B20" s="11"/>
      <c r="C20" s="11"/>
      <c r="D20" s="12"/>
      <c r="E20" s="11"/>
      <c r="F20" s="15"/>
      <c r="G20" s="11"/>
      <c r="H20" s="11"/>
    </row>
    <row r="21" spans="1:8">
      <c r="A21" s="10">
        <v>45644</v>
      </c>
      <c r="B21" s="11"/>
      <c r="C21" s="11"/>
      <c r="D21" s="12"/>
      <c r="E21" s="11"/>
      <c r="F21" s="15"/>
      <c r="G21" s="11"/>
      <c r="H21" s="11"/>
    </row>
    <row r="22" spans="1:8">
      <c r="A22" s="10">
        <v>45645</v>
      </c>
      <c r="B22" s="11"/>
      <c r="C22" s="11"/>
      <c r="D22" s="12"/>
      <c r="E22" s="11"/>
      <c r="F22" s="15"/>
      <c r="G22" s="11"/>
      <c r="H22" s="11"/>
    </row>
    <row r="23" spans="1:8">
      <c r="A23" s="10">
        <v>45646</v>
      </c>
      <c r="B23" s="11"/>
      <c r="C23" s="11"/>
      <c r="D23" s="12"/>
      <c r="E23" s="11"/>
      <c r="F23" s="15"/>
      <c r="G23" s="11"/>
      <c r="H23" s="11"/>
    </row>
    <row r="24" s="1" customFormat="1" spans="1:8">
      <c r="A24" s="7">
        <v>45647</v>
      </c>
      <c r="B24" s="8"/>
      <c r="C24" s="8"/>
      <c r="D24" s="9"/>
      <c r="E24" s="8"/>
      <c r="F24" s="14"/>
      <c r="G24" s="8"/>
      <c r="H24" s="8"/>
    </row>
    <row r="25" s="1" customFormat="1" spans="1:8">
      <c r="A25" s="7">
        <v>45648</v>
      </c>
      <c r="B25" s="8"/>
      <c r="C25" s="8"/>
      <c r="D25" s="9"/>
      <c r="E25" s="8"/>
      <c r="F25" s="14"/>
      <c r="G25" s="8"/>
      <c r="H25" s="8"/>
    </row>
    <row r="26" s="2" customFormat="1" spans="1:8">
      <c r="A26" s="10">
        <v>45649</v>
      </c>
      <c r="B26" s="11"/>
      <c r="C26" s="11"/>
      <c r="D26" s="12"/>
      <c r="E26" s="11"/>
      <c r="F26" s="15"/>
      <c r="G26" s="11"/>
      <c r="H26" s="11"/>
    </row>
    <row r="27" s="2" customFormat="1" spans="1:8">
      <c r="A27" s="10">
        <v>45650</v>
      </c>
      <c r="B27" s="11"/>
      <c r="C27" s="11"/>
      <c r="D27" s="12"/>
      <c r="E27" s="11"/>
      <c r="F27" s="15"/>
      <c r="G27" s="11"/>
      <c r="H27" s="11"/>
    </row>
    <row r="28" spans="1:8">
      <c r="A28" s="10">
        <v>45651</v>
      </c>
      <c r="B28" s="11"/>
      <c r="C28" s="11"/>
      <c r="D28" s="12"/>
      <c r="E28" s="11"/>
      <c r="F28" s="15"/>
      <c r="G28" s="11"/>
      <c r="H28" s="11"/>
    </row>
    <row r="29" spans="1:8">
      <c r="A29" s="10">
        <v>45652</v>
      </c>
      <c r="B29" s="11"/>
      <c r="C29" s="11"/>
      <c r="D29" s="12"/>
      <c r="E29" s="11"/>
      <c r="F29" s="15"/>
      <c r="G29" s="11"/>
      <c r="H29" s="11"/>
    </row>
    <row r="30" spans="1:8">
      <c r="A30" s="10">
        <v>45653</v>
      </c>
      <c r="B30" s="11"/>
      <c r="C30" s="11"/>
      <c r="D30" s="12"/>
      <c r="E30" s="11"/>
      <c r="F30" s="15"/>
      <c r="G30" s="11"/>
      <c r="H30" s="11"/>
    </row>
    <row r="31" s="1" customFormat="1" spans="1:8">
      <c r="A31" s="7">
        <v>45654</v>
      </c>
      <c r="B31" s="8"/>
      <c r="C31" s="8"/>
      <c r="D31" s="9"/>
      <c r="E31" s="8"/>
      <c r="F31" s="14"/>
      <c r="G31" s="8"/>
      <c r="H31" s="8"/>
    </row>
    <row r="32" s="1" customFormat="1" spans="1:8">
      <c r="A32" s="7">
        <v>45655</v>
      </c>
      <c r="B32" s="8"/>
      <c r="C32" s="8"/>
      <c r="D32" s="9"/>
      <c r="E32" s="8"/>
      <c r="F32" s="14"/>
      <c r="G32" s="8"/>
      <c r="H32" s="8"/>
    </row>
    <row r="33" s="2" customFormat="1" spans="1:8">
      <c r="A33" s="10">
        <v>45656</v>
      </c>
      <c r="B33" s="11"/>
      <c r="C33" s="11"/>
      <c r="D33" s="12"/>
      <c r="E33" s="11"/>
      <c r="F33" s="15"/>
      <c r="G33" s="11"/>
      <c r="H33" s="11"/>
    </row>
    <row r="34" spans="1:8">
      <c r="A34" s="10">
        <v>45657</v>
      </c>
      <c r="B34" s="11"/>
      <c r="C34" s="11"/>
      <c r="D34" s="12"/>
      <c r="E34" s="11"/>
      <c r="F34" s="15"/>
      <c r="G34" s="11"/>
      <c r="H34" s="11"/>
    </row>
    <row r="35" spans="1:8">
      <c r="A35" s="13" t="s">
        <v>9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张建府</dc:creator>
  <cp:lastModifiedBy>user</cp:lastModifiedBy>
  <dcterms:created xsi:type="dcterms:W3CDTF">2019-09-05T16:34:00Z</dcterms:created>
  <cp:lastPrinted>2020-11-18T17:31:00Z</cp:lastPrinted>
  <dcterms:modified xsi:type="dcterms:W3CDTF">2025-08-05T16:57:33Z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2052-11.8.2.11818</vt:lpwstr>
  </property>
  <property fmtid="{D5CDD505-2E9C-101B-9397-08002B2CF9AE}" pid="3" name="KSOReadingLayout">
    <vt:bool>true</vt:bool>
  </property>
  <property fmtid="{D5CDD505-2E9C-101B-9397-08002B2CF9AE}" pid="4" name="ICV">
    <vt:lpwstr>2388E0FE32879E5C5EC791685043D5D2</vt:lpwstr>
  </property>
</Properties>
</file>